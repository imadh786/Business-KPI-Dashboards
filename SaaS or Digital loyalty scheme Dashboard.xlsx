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hani\OneDrive\Documents\KPI Dashboard sample\"/>
    </mc:Choice>
  </mc:AlternateContent>
  <workbookProtection workbookPassword="CC09" lockStructure="1"/>
  <bookViews>
    <workbookView xWindow="0" yWindow="0" windowWidth="30720" windowHeight="9264"/>
  </bookViews>
  <sheets>
    <sheet name="Data" sheetId="1" r:id="rId1"/>
    <sheet name="Helper Sheet" sheetId="2" r:id="rId2"/>
    <sheet name="Dashboard" sheetId="3" r:id="rId3"/>
  </sheets>
  <externalReferences>
    <externalReference r:id="rId4"/>
  </externalReferences>
  <definedNames>
    <definedName name="SHOWME">INDIRECT([1]Data!$K$65)</definedName>
    <definedName name="SHOWME2">INDIRECT([1]Data!$K$83)</definedName>
    <definedName name="TopPerformer">INDIRECT([1]Data!$C$115)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2" l="1"/>
  <c r="B2" i="2" l="1"/>
  <c r="E5" i="2" s="1" a="1"/>
  <c r="E5" i="2" s="1"/>
  <c r="A2" i="2"/>
  <c r="N10" i="2" s="1" a="1"/>
  <c r="N10" i="2" s="1"/>
  <c r="G9" i="2" l="1" a="1"/>
  <c r="G9" i="2" s="1"/>
  <c r="H7" i="2" a="1"/>
  <c r="H7" i="2" s="1"/>
  <c r="I13" i="2" a="1"/>
  <c r="I13" i="2" s="1"/>
  <c r="M10" i="2" a="1"/>
  <c r="M10" i="2" s="1"/>
  <c r="M5" i="2" a="1"/>
  <c r="M5" i="2" s="1"/>
  <c r="I3" i="2" a="1"/>
  <c r="I3" i="2" s="1"/>
  <c r="L6" i="2" a="1"/>
  <c r="L6" i="2" s="1"/>
  <c r="N12" i="2" a="1"/>
  <c r="N12" i="2" s="1"/>
  <c r="G11" i="2" a="1"/>
  <c r="G11" i="2" s="1"/>
  <c r="M11" i="2" a="1"/>
  <c r="M11" i="2" s="1"/>
  <c r="H9" i="2" a="1"/>
  <c r="H9" i="2" s="1"/>
  <c r="L12" i="2" a="1"/>
  <c r="L12" i="2" s="1"/>
  <c r="I5" i="2" a="1"/>
  <c r="I5" i="2" s="1"/>
  <c r="M12" i="2" a="1"/>
  <c r="M12" i="2" s="1"/>
  <c r="N14" i="2" a="1"/>
  <c r="N14" i="2" s="1"/>
  <c r="G3" i="2" a="1"/>
  <c r="G3" i="2" s="1"/>
  <c r="G14" i="2" a="1"/>
  <c r="G14" i="2" s="1"/>
  <c r="H10" i="2" a="1"/>
  <c r="H10" i="2" s="1"/>
  <c r="I6" i="2" a="1"/>
  <c r="I6" i="2" s="1"/>
  <c r="M7" i="2" a="1"/>
  <c r="M7" i="2" s="1"/>
  <c r="L13" i="2" a="1"/>
  <c r="L13" i="2" s="1"/>
  <c r="N5" i="2" a="1"/>
  <c r="N5" i="2" s="1"/>
  <c r="N15" i="2" a="1"/>
  <c r="N15" i="2" s="1"/>
  <c r="R4" i="2" s="1"/>
  <c r="G4" i="2" a="1"/>
  <c r="G4" i="2" s="1"/>
  <c r="G15" i="2" a="1"/>
  <c r="G15" i="2" s="1"/>
  <c r="H11" i="2" a="1"/>
  <c r="H11" i="2" s="1"/>
  <c r="I7" i="2" a="1"/>
  <c r="I7" i="2" s="1"/>
  <c r="L3" i="2" a="1"/>
  <c r="L3" i="2" s="1"/>
  <c r="L8" i="2" a="1"/>
  <c r="L8" i="2" s="1"/>
  <c r="N6" i="2" a="1"/>
  <c r="N6" i="2" s="1"/>
  <c r="N11" i="2" a="1"/>
  <c r="N11" i="2" s="1"/>
  <c r="H8" i="2" a="1"/>
  <c r="H8" i="2" s="1"/>
  <c r="N3" i="2" a="1"/>
  <c r="N3" i="2" s="1"/>
  <c r="R3" i="2" s="1"/>
  <c r="N13" i="2" a="1"/>
  <c r="N13" i="2" s="1"/>
  <c r="G12" i="2" a="1"/>
  <c r="G12" i="2" s="1"/>
  <c r="L7" i="2" a="1"/>
  <c r="L7" i="2" s="1"/>
  <c r="E8" i="2" a="1"/>
  <c r="E8" i="2" s="1"/>
  <c r="H3" i="2" a="1"/>
  <c r="H3" i="2" s="1"/>
  <c r="I8" i="2" a="1"/>
  <c r="I8" i="2" s="1"/>
  <c r="M8" i="2" a="1"/>
  <c r="M8" i="2" s="1"/>
  <c r="N7" i="2" a="1"/>
  <c r="N7" i="2" s="1"/>
  <c r="G6" i="2" a="1"/>
  <c r="G6" i="2" s="1"/>
  <c r="H13" i="2" a="1"/>
  <c r="H13" i="2" s="1"/>
  <c r="L9" i="2" a="1"/>
  <c r="L9" i="2" s="1"/>
  <c r="M16" i="2" a="1"/>
  <c r="M16" i="2" s="1"/>
  <c r="H14" i="2" a="1"/>
  <c r="H14" i="2" s="1"/>
  <c r="M14" i="2" a="1"/>
  <c r="M14" i="2" s="1"/>
  <c r="N8" i="2" a="1"/>
  <c r="N8" i="2" s="1"/>
  <c r="G7" i="2" a="1"/>
  <c r="G7" i="2" s="1"/>
  <c r="I11" i="2" a="1"/>
  <c r="I11" i="2" s="1"/>
  <c r="M4" i="2" a="1"/>
  <c r="M4" i="2" s="1"/>
  <c r="L10" i="2" a="1"/>
  <c r="L10" i="2" s="1"/>
  <c r="L15" i="2" a="1"/>
  <c r="L15" i="2" s="1"/>
  <c r="N9" i="2" a="1"/>
  <c r="N9" i="2" s="1"/>
  <c r="O9" i="2" s="1"/>
  <c r="G10" i="2" a="1"/>
  <c r="G10" i="2" s="1"/>
  <c r="I14" i="2" a="1"/>
  <c r="I14" i="2" s="1"/>
  <c r="L11" i="2" a="1"/>
  <c r="L11" i="2" s="1"/>
  <c r="E6" i="2" a="1"/>
  <c r="E6" i="2" s="1"/>
  <c r="I15" i="2" a="1"/>
  <c r="I15" i="2" s="1"/>
  <c r="M6" i="2" a="1"/>
  <c r="M6" i="2" s="1"/>
  <c r="I4" i="2" a="1"/>
  <c r="I4" i="2" s="1"/>
  <c r="N4" i="2" a="1"/>
  <c r="N4" i="2" s="1"/>
  <c r="G13" i="2" a="1"/>
  <c r="G13" i="2" s="1"/>
  <c r="G5" i="2" a="1"/>
  <c r="G5" i="2" s="1"/>
  <c r="H12" i="2" a="1"/>
  <c r="H12" i="2" s="1"/>
  <c r="M3" i="2" a="1"/>
  <c r="M3" i="2" s="1"/>
  <c r="M13" i="2" a="1"/>
  <c r="M13" i="2" s="1"/>
  <c r="L16" i="2" a="1"/>
  <c r="L16" i="2" s="1"/>
  <c r="H4" i="2" a="1"/>
  <c r="H4" i="2" s="1"/>
  <c r="I9" i="2" a="1"/>
  <c r="I9" i="2" s="1"/>
  <c r="L4" i="2" a="1"/>
  <c r="L4" i="2" s="1"/>
  <c r="L14" i="2" a="1"/>
  <c r="L14" i="2" s="1"/>
  <c r="H5" i="2" a="1"/>
  <c r="H5" i="2" s="1"/>
  <c r="I10" i="2" a="1"/>
  <c r="I10" i="2" s="1"/>
  <c r="M9" i="2" a="1"/>
  <c r="M9" i="2" s="1"/>
  <c r="N16" i="2" a="1"/>
  <c r="N16" i="2" s="1"/>
  <c r="G8" i="2" a="1"/>
  <c r="G8" i="2" s="1"/>
  <c r="H6" i="2" a="1"/>
  <c r="H6" i="2" s="1"/>
  <c r="H15" i="2" a="1"/>
  <c r="H15" i="2" s="1"/>
  <c r="I12" i="2" a="1"/>
  <c r="I12" i="2" s="1"/>
  <c r="L5" i="2" a="1"/>
  <c r="L5" i="2" s="1"/>
  <c r="M15" i="2" a="1"/>
  <c r="M15" i="2" s="1"/>
  <c r="E2" i="2" a="1"/>
  <c r="E2" i="2" s="1"/>
  <c r="E3" i="2" a="1"/>
  <c r="E3" i="2" s="1"/>
  <c r="E4" i="2" a="1"/>
  <c r="E4" i="2" s="1"/>
  <c r="Q3" i="2" l="1"/>
  <c r="O12" i="2"/>
  <c r="R8" i="2"/>
  <c r="R9" i="2" s="1"/>
  <c r="R14" i="2" s="1"/>
  <c r="O4" i="2"/>
  <c r="O6" i="2"/>
  <c r="O8" i="2"/>
  <c r="O13" i="2"/>
  <c r="Q4" i="2"/>
  <c r="O7" i="2"/>
  <c r="O11" i="2"/>
  <c r="O17" i="2"/>
  <c r="O18" i="2" s="1"/>
  <c r="O3" i="2"/>
  <c r="O15" i="2"/>
  <c r="O5" i="2"/>
  <c r="O14" i="2"/>
  <c r="O10" i="2"/>
  <c r="D7" i="1"/>
  <c r="H7" i="1" s="1"/>
  <c r="L7" i="1" s="1"/>
  <c r="D6" i="1"/>
  <c r="J6" i="1"/>
  <c r="I6" i="1"/>
  <c r="H6" i="1"/>
  <c r="L6" i="1" s="1"/>
  <c r="H5" i="1"/>
  <c r="L5" i="1" s="1"/>
  <c r="I5" i="1"/>
  <c r="J5" i="1" s="1"/>
  <c r="Q14" i="2" l="1"/>
  <c r="D8" i="1"/>
  <c r="I7" i="1"/>
  <c r="J7" i="1" s="1"/>
  <c r="H8" i="1" l="1"/>
  <c r="L8" i="1" s="1"/>
  <c r="I8" i="1"/>
  <c r="J8" i="1" s="1"/>
  <c r="D9" i="1"/>
  <c r="H9" i="1" l="1"/>
  <c r="L9" i="1" s="1"/>
  <c r="I9" i="1"/>
  <c r="J9" i="1" s="1"/>
  <c r="D10" i="1"/>
  <c r="I10" i="1" l="1"/>
  <c r="J10" i="1" s="1"/>
  <c r="D11" i="1"/>
  <c r="H10" i="1"/>
  <c r="L10" i="1" s="1"/>
  <c r="I11" i="1" l="1"/>
  <c r="J11" i="1" s="1"/>
  <c r="D12" i="1"/>
  <c r="H11" i="1"/>
  <c r="L11" i="1" s="1"/>
  <c r="H12" i="1" l="1"/>
  <c r="L12" i="1" s="1"/>
  <c r="I12" i="1"/>
  <c r="J12" i="1" s="1"/>
  <c r="D13" i="1"/>
  <c r="H13" i="1" l="1"/>
  <c r="L13" i="1" s="1"/>
  <c r="D14" i="1"/>
  <c r="I13" i="1"/>
  <c r="J13" i="1" s="1"/>
  <c r="I14" i="1" l="1"/>
  <c r="J14" i="1" s="1"/>
  <c r="D15" i="1"/>
  <c r="H14" i="1"/>
  <c r="L14" i="1" s="1"/>
  <c r="D16" i="1" l="1"/>
  <c r="H15" i="1"/>
  <c r="L15" i="1" s="1"/>
  <c r="J15" i="2" s="1" a="1"/>
  <c r="J15" i="2" s="1"/>
  <c r="I15" i="1"/>
  <c r="J15" i="1" s="1"/>
  <c r="H16" i="1" l="1"/>
  <c r="L16" i="1" s="1"/>
  <c r="J14" i="2" s="1" a="1"/>
  <c r="J14" i="2" s="1"/>
  <c r="I16" i="1"/>
  <c r="J16" i="1" s="1"/>
  <c r="D17" i="1"/>
  <c r="H17" i="1" l="1"/>
  <c r="L17" i="1" s="1"/>
  <c r="J13" i="2" s="1" a="1"/>
  <c r="J13" i="2" s="1"/>
  <c r="I17" i="1"/>
  <c r="J17" i="1" s="1"/>
  <c r="D18" i="1"/>
  <c r="H18" i="1" l="1"/>
  <c r="L18" i="1" s="1"/>
  <c r="J12" i="2" s="1" a="1"/>
  <c r="J12" i="2" s="1"/>
  <c r="I18" i="1"/>
  <c r="J18" i="1" s="1"/>
  <c r="D19" i="1"/>
  <c r="H19" i="1" l="1"/>
  <c r="L19" i="1" s="1"/>
  <c r="J11" i="2" s="1" a="1"/>
  <c r="J11" i="2" s="1"/>
  <c r="I19" i="1"/>
  <c r="J19" i="1" s="1"/>
  <c r="D20" i="1"/>
  <c r="H20" i="1" l="1"/>
  <c r="L20" i="1" s="1"/>
  <c r="J10" i="2" s="1" a="1"/>
  <c r="J10" i="2" s="1"/>
  <c r="I20" i="1"/>
  <c r="J20" i="1" s="1"/>
  <c r="D21" i="1"/>
  <c r="H21" i="1" l="1"/>
  <c r="L21" i="1" s="1"/>
  <c r="J9" i="2" s="1" a="1"/>
  <c r="J9" i="2" s="1"/>
  <c r="I21" i="1"/>
  <c r="J21" i="1" s="1"/>
  <c r="D22" i="1"/>
  <c r="H22" i="1" l="1"/>
  <c r="L22" i="1" s="1"/>
  <c r="J8" i="2" s="1" a="1"/>
  <c r="J8" i="2" s="1"/>
  <c r="I22" i="1"/>
  <c r="J22" i="1" s="1"/>
  <c r="D23" i="1"/>
  <c r="H23" i="1" l="1"/>
  <c r="L23" i="1" s="1"/>
  <c r="J7" i="2" s="1" a="1"/>
  <c r="J7" i="2" s="1"/>
  <c r="I23" i="1"/>
  <c r="J23" i="1" s="1"/>
  <c r="D24" i="1"/>
  <c r="I24" i="1" l="1"/>
  <c r="J24" i="1" s="1"/>
  <c r="H24" i="1"/>
  <c r="L24" i="1" s="1"/>
  <c r="J6" i="2" s="1" a="1"/>
  <c r="J6" i="2" s="1"/>
  <c r="D25" i="1"/>
  <c r="H25" i="1" l="1"/>
  <c r="L25" i="1" s="1"/>
  <c r="J5" i="2" s="1" a="1"/>
  <c r="J5" i="2" s="1"/>
  <c r="I25" i="1"/>
  <c r="J25" i="1" s="1"/>
  <c r="D26" i="1"/>
  <c r="I26" i="1" l="1"/>
  <c r="J26" i="1" s="1"/>
  <c r="D27" i="1"/>
  <c r="H26" i="1"/>
  <c r="L26" i="1" s="1"/>
  <c r="J4" i="2" s="1" a="1"/>
  <c r="J4" i="2" s="1"/>
  <c r="D28" i="1" l="1"/>
  <c r="H27" i="1"/>
  <c r="L27" i="1" s="1"/>
  <c r="I27" i="1"/>
  <c r="J27" i="1" s="1"/>
  <c r="J3" i="2" l="1" a="1"/>
  <c r="J3" i="2" s="1"/>
  <c r="E7" i="2" a="1"/>
  <c r="E7" i="2" s="1"/>
  <c r="H28" i="1"/>
  <c r="L28" i="1" s="1"/>
  <c r="I28" i="1"/>
  <c r="J28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<sst xmlns="http://schemas.openxmlformats.org/spreadsheetml/2006/main" count="85" uniqueCount="52">
  <si>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</si>
  <si>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</si>
  <si>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</si>
  <si>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</si>
  <si>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</si>
  <si>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</si>
  <si>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</si>
  <si>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</si>
  <si>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</si>
  <si>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</si>
  <si>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</si>
  <si>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</si>
  <si>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</si>
  <si>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Active Accounts</t>
  </si>
  <si>
    <t>New Accounts</t>
  </si>
  <si>
    <t>Cancelled Accounts</t>
  </si>
  <si>
    <t>ARPA ($)</t>
  </si>
  <si>
    <t>MRR ($)</t>
  </si>
  <si>
    <t>Churn Rate (%)</t>
  </si>
  <si>
    <t>CLTV ($)</t>
  </si>
  <si>
    <t>CAC ($)</t>
  </si>
  <si>
    <t>NPS (%)</t>
  </si>
  <si>
    <t>User Retention Rate (%)</t>
  </si>
  <si>
    <t>Year</t>
  </si>
  <si>
    <t>Average Customer Lifetime (Months)</t>
  </si>
  <si>
    <t>YEAR</t>
  </si>
  <si>
    <t>MONTH</t>
  </si>
  <si>
    <t>Month:</t>
  </si>
  <si>
    <t>Year:</t>
  </si>
  <si>
    <t xml:space="preserve">PLEASE SELECT </t>
  </si>
  <si>
    <t>Parameter</t>
  </si>
  <si>
    <t>AVG Value</t>
  </si>
  <si>
    <t>Monthly Recurring Revenue (MRR)</t>
  </si>
  <si>
    <t>Customer Acquisition Cost (CAC)</t>
  </si>
  <si>
    <t>Customer Lifetime Value (CLTV)</t>
  </si>
  <si>
    <t>Net Promoter Score (NPS)</t>
  </si>
  <si>
    <t>Your Company Name</t>
  </si>
  <si>
    <t>Churn Rate</t>
  </si>
  <si>
    <t>CAC &amp; CLTV PAST 12 MONTHS</t>
  </si>
  <si>
    <t>CAC</t>
  </si>
  <si>
    <t>CLTV</t>
  </si>
  <si>
    <t>MRR NET GROWTH PAST 12 MONTHS</t>
  </si>
  <si>
    <t>MRR</t>
  </si>
  <si>
    <t>MRR Growth</t>
  </si>
  <si>
    <t>TOTAL:</t>
  </si>
  <si>
    <t>TOTAL %:</t>
  </si>
  <si>
    <t>Value</t>
  </si>
  <si>
    <t>to 100</t>
  </si>
  <si>
    <t>X</t>
  </si>
  <si>
    <t>Y</t>
  </si>
  <si>
    <t>Growth - SCATTER</t>
  </si>
  <si>
    <t>Saas/Loyalty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</si>
</sst>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"/>
    <numFmt numFmtId="165" formatCode="&quot;$&quot;#,##0.00"/>
    <numFmt numFmtId="166" formatCode="0.0"/>
  </numFmts>
  <fonts count="13" x14ac:knownFonts="1">
    <font>
      <sz val="11"/>
      <color theme="1"/>
      <name val="Calibri"/>
      <family val="2"/>
      <scheme val="minor"/>
    </font>
    <font>
      <b/>
      <sz val="10"/>
      <color rgb="FF111111"/>
      <name val="Bahnschrift"/>
      <family val="2"/>
    </font>
    <font>
      <sz val="10"/>
      <color rgb="FF111111"/>
      <name val="Bahnschrift"/>
      <family val="2"/>
    </font>
    <font>
      <sz val="10"/>
      <color theme="1"/>
      <name val="Bahnschrift"/>
      <family val="2"/>
    </font>
    <font>
      <sz val="10"/>
      <color theme="0"/>
      <name val="Bahnschrift"/>
      <family val="2"/>
    </font>
    <font>
      <sz val="16"/>
      <color theme="1"/>
      <name val="Bahnschrift"/>
      <family val="2"/>
    </font>
    <font>
      <sz val="16"/>
      <color theme="2" tint="-9.9978637043366805E-2"/>
      <name val="Bahnschrift"/>
      <family val="2"/>
    </font>
    <font>
      <b/>
      <sz val="16"/>
      <color theme="1"/>
      <name val="Bahnschrift"/>
      <family val="2"/>
    </font>
    <font>
      <b/>
      <sz val="10"/>
      <color theme="0"/>
      <name val="Bahnschrift"/>
      <family val="2"/>
    </font>
    <font>
      <b/>
      <sz val="11"/>
      <color theme="1"/>
      <name val="Bahnschrift"/>
      <family val="2"/>
    </font>
    <font>
      <sz val="26"/>
      <color theme="0"/>
      <name val="Bahnschrift"/>
      <family val="2"/>
    </font>
    <font>
      <sz val="28"/>
      <color theme="0"/>
      <name val="Bahnschrift"/>
      <family val="2"/>
    </font>
    <font>
      <sz val="10"/>
      <color rgb="FF3C4650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91F7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  <xf numFmtId="10" fontId="2" fillId="3" borderId="2" xfId="0" applyNumberFormat="1" applyFont="1" applyFill="1" applyBorder="1" applyAlignment="1">
      <alignment horizontal="center" vertical="center" wrapText="1"/>
    </xf>
    <xf numFmtId="166" fontId="2" fillId="3" borderId="2" xfId="0" applyNumberFormat="1" applyFont="1" applyFill="1" applyBorder="1" applyAlignment="1">
      <alignment horizontal="center" vertical="center" wrapText="1"/>
    </xf>
    <xf numFmtId="9" fontId="2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6" fontId="3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9" fontId="2" fillId="3" borderId="4" xfId="0" applyNumberFormat="1" applyFont="1" applyFill="1" applyBorder="1" applyAlignment="1">
      <alignment horizontal="center" vertical="center" wrapText="1"/>
    </xf>
    <xf numFmtId="9" fontId="3" fillId="3" borderId="4" xfId="0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3" fontId="2" fillId="3" borderId="9" xfId="0" applyNumberFormat="1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164" fontId="3" fillId="3" borderId="9" xfId="0" applyNumberFormat="1" applyFont="1" applyFill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 vertical="center" wrapText="1"/>
    </xf>
    <xf numFmtId="10" fontId="2" fillId="3" borderId="9" xfId="0" applyNumberFormat="1" applyFont="1" applyFill="1" applyBorder="1" applyAlignment="1">
      <alignment horizontal="center" vertical="center" wrapText="1"/>
    </xf>
    <xf numFmtId="166" fontId="3" fillId="3" borderId="9" xfId="0" applyNumberFormat="1" applyFont="1" applyFill="1" applyBorder="1" applyAlignment="1">
      <alignment horizontal="center" vertical="center"/>
    </xf>
    <xf numFmtId="9" fontId="3" fillId="3" borderId="10" xfId="0" applyNumberFormat="1" applyFont="1" applyFill="1" applyBorder="1" applyAlignment="1">
      <alignment horizontal="center" vertical="center"/>
    </xf>
    <xf numFmtId="0" fontId="0" fillId="4" borderId="0" xfId="0" applyFill="1"/>
    <xf numFmtId="0" fontId="4" fillId="4" borderId="0" xfId="0" applyFont="1" applyFill="1" applyBorder="1" applyAlignment="1">
      <alignment horizontal="left" vertical="center"/>
    </xf>
    <xf numFmtId="10" fontId="2" fillId="4" borderId="0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17" fontId="3" fillId="0" borderId="2" xfId="0" applyNumberFormat="1" applyFont="1" applyBorder="1" applyAlignment="1">
      <alignment horizontal="center" vertical="center"/>
    </xf>
    <xf numFmtId="0" fontId="9" fillId="4" borderId="0" xfId="0" applyFont="1" applyFill="1" applyAlignment="1">
      <alignment horizontal="right" vertical="center"/>
    </xf>
    <xf numFmtId="164" fontId="1" fillId="3" borderId="2" xfId="0" applyNumberFormat="1" applyFont="1" applyFill="1" applyBorder="1" applyAlignment="1">
      <alignment horizontal="center" vertical="center" wrapText="1"/>
    </xf>
    <xf numFmtId="9" fontId="1" fillId="3" borderId="2" xfId="0" applyNumberFormat="1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9" fontId="2" fillId="3" borderId="4" xfId="0" applyNumberFormat="1" applyFont="1" applyFill="1" applyBorder="1" applyAlignment="1">
      <alignment horizontal="center" vertical="center" wrapText="1"/>
    </xf>
    <xf numFmtId="9" fontId="2" fillId="3" borderId="3" xfId="0" applyNumberFormat="1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/>
    </xf>
    <xf numFmtId="0" fontId="10" fillId="6" borderId="0" xfId="0" applyFont="1" applyFill="1" applyAlignment="1">
      <alignment horizontal="right" vertic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13" formatCode="0%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164" formatCode="&quot;$&quot;#,##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166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14" formatCode="0.00%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14" formatCode="0.00%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164" formatCode="&quot;$&quot;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Bahnschrift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795EEB"/>
      <color rgb="FFF91F79"/>
      <color rgb="FF53C2FF"/>
      <color rgb="FF33B6FF"/>
      <color rgb="FF00A6FF"/>
      <color rgb="FF795E87"/>
      <color rgb="FFF09682"/>
      <color rgb="FF9ACE6C"/>
      <color rgb="FF0061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10/relationships/person" Target="persons/person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995432377665682E-2"/>
          <c:y val="2.8914153161912867E-2"/>
          <c:w val="0.80770527018969263"/>
          <c:h val="0.95150717953125119"/>
        </c:manualLayout>
      </c:layout>
      <c:doughnutChart>
        <c:varyColors val="1"/>
        <c:ser>
          <c:idx val="0"/>
          <c:order val="0"/>
          <c:tx>
            <c:strRef>
              <c:f>'Helper Sheet'!$Q$7:$R$7</c:f>
              <c:strCache>
                <c:ptCount val="1"/>
                <c:pt idx="0">
                  <c:v>MRR Growth</c:v>
                </c:pt>
              </c:strCache>
            </c:strRef>
          </c:tx>
          <c:dPt>
            <c:idx val="0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C40-47BB-9707-8EBA9D3CAEA3}"/>
              </c:ext>
            </c:extLst>
          </c:dPt>
          <c:dPt>
            <c:idx val="1"/>
            <c:bubble3D val="0"/>
            <c:spPr>
              <a:solidFill>
                <a:srgbClr val="795EEB">
                  <a:alpha val="32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40-47BB-9707-8EBA9D3CAEA3}"/>
              </c:ext>
            </c:extLst>
          </c:dPt>
          <c:val>
            <c:numRef>
              <c:f>'Helper Sheet'!$R$8:$R$9</c:f>
              <c:numCache>
                <c:formatCode>0%</c:formatCode>
                <c:ptCount val="2"/>
                <c:pt idx="0">
                  <c:v>0.30314960629921262</c:v>
                </c:pt>
                <c:pt idx="1">
                  <c:v>0.69685039370078738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40-47BB-9707-8EBA9D3CA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catterChart>
        <c:scatterStyle val="lineMarker"/>
        <c:varyColors val="0"/>
        <c:ser>
          <c:idx val="1"/>
          <c:order val="1"/>
          <c:tx>
            <c:strRef>
              <c:f>'Helper Sheet'!$Q$11:$R$11</c:f>
              <c:strCache>
                <c:ptCount val="1"/>
                <c:pt idx="0">
                  <c:v>Growth - SCATTER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04D3F7"/>
              </a:solidFill>
              <a:ln w="9525">
                <a:noFill/>
              </a:ln>
              <a:effectLst>
                <a:softEdge rad="0"/>
              </a:effectLst>
            </c:spPr>
          </c:marker>
          <c:dPt>
            <c:idx val="0"/>
            <c:marker>
              <c:symbol val="circle"/>
              <c:size val="16"/>
              <c:spPr>
                <a:solidFill>
                  <a:srgbClr val="F91F79"/>
                </a:solidFill>
                <a:ln w="9525">
                  <a:noFill/>
                </a:ln>
                <a:effectLst>
                  <a:softEdge rad="0"/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C40-47BB-9707-8EBA9D3CAEA3}"/>
              </c:ext>
            </c:extLst>
          </c:dPt>
          <c:dPt>
            <c:idx val="1"/>
            <c:marker>
              <c:symbol val="circle"/>
              <c:size val="16"/>
              <c:spPr>
                <a:solidFill>
                  <a:srgbClr val="F91F79"/>
                </a:solidFill>
                <a:ln w="9525">
                  <a:noFill/>
                </a:ln>
                <a:effectLst>
                  <a:softEdge rad="0"/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C40-47BB-9707-8EBA9D3CAEA3}"/>
              </c:ext>
            </c:extLst>
          </c:dPt>
          <c:xVal>
            <c:numRef>
              <c:f>'Helper Sheet'!$Q$13:$Q$14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0.94475538160410999</c:v>
                </c:pt>
              </c:numCache>
            </c:numRef>
          </c:xVal>
          <c:yVal>
            <c:numRef>
              <c:f>'Helper Sheet'!$R$13:$R$14</c:f>
              <c:numCache>
                <c:formatCode>0.00</c:formatCode>
                <c:ptCount val="2"/>
                <c:pt idx="0" formatCode="0">
                  <c:v>1</c:v>
                </c:pt>
                <c:pt idx="1">
                  <c:v>-0.32777624827017665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C40-47BB-9707-8EBA9D3CA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840511"/>
        <c:axId val="647837151"/>
      </c:scatterChart>
      <c:valAx>
        <c:axId val="647837151"/>
        <c:scaling>
          <c:orientation val="minMax"/>
          <c:max val="1.1600000000000001"/>
          <c:min val="-1.1600000000000001"/>
        </c:scaling>
        <c:delete val="1"/>
        <c:axPos val="l"/>
        <c:numFmt formatCode="0" sourceLinked="1"/>
        <c:majorTickMark val="out"/>
        <c:minorTickMark val="none"/>
        <c:tickLblPos val="nextTo"/>
        <c:crossAx val="647840511"/>
        <c:crosses val="autoZero"/>
        <c:crossBetween val="midCat"/>
        <c:majorUnit val="0.1"/>
      </c:valAx>
      <c:valAx>
        <c:axId val="647840511"/>
        <c:scaling>
          <c:orientation val="minMax"/>
          <c:max val="1.1600000000000001"/>
          <c:min val="-1.16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647837151"/>
        <c:crosses val="max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795EEB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40128465297663E-2"/>
          <c:y val="0.14308070406221515"/>
          <c:w val="0.95919743069404673"/>
          <c:h val="0.83647919535746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'Helper Sheet'!$O$2</c:f>
              <c:strCache>
                <c:ptCount val="1"/>
                <c:pt idx="0">
                  <c:v>MRR Growth</c:v>
                </c:pt>
              </c:strCache>
            </c:strRef>
          </c:tx>
          <c:spPr>
            <a:solidFill>
              <a:srgbClr val="795E8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'Helper Sheet'!$L$3:$L$15</c:f>
              <c:strCache>
                <c:ptCount val="13"/>
                <c:pt idx="0">
                  <c:v>September</c:v>
                </c:pt>
                <c:pt idx="1">
                  <c:v>August</c:v>
                </c:pt>
                <c:pt idx="2">
                  <c:v>July</c:v>
                </c:pt>
                <c:pt idx="3">
                  <c:v>June</c:v>
                </c:pt>
                <c:pt idx="4">
                  <c:v>May</c:v>
                </c:pt>
                <c:pt idx="5">
                  <c:v>April</c:v>
                </c:pt>
                <c:pt idx="6">
                  <c:v>March</c:v>
                </c:pt>
                <c:pt idx="7">
                  <c:v>February</c:v>
                </c:pt>
                <c:pt idx="8">
                  <c:v>January</c:v>
                </c:pt>
                <c:pt idx="9">
                  <c:v>December</c:v>
                </c:pt>
                <c:pt idx="10">
                  <c:v>November</c:v>
                </c:pt>
                <c:pt idx="11">
                  <c:v>October</c:v>
                </c:pt>
                <c:pt idx="12">
                  <c:v>September</c:v>
                </c:pt>
              </c:strCache>
            </c:strRef>
          </c:cat>
          <c:val>
            <c:numRef>
              <c:f>'Helper Sheet'!$O$3:$O$15</c:f>
              <c:numCache>
                <c:formatCode>"$"#,##0</c:formatCode>
                <c:ptCount val="13"/>
                <c:pt idx="0">
                  <c:v>7000</c:v>
                </c:pt>
                <c:pt idx="1">
                  <c:v>6000</c:v>
                </c:pt>
                <c:pt idx="2">
                  <c:v>8000</c:v>
                </c:pt>
                <c:pt idx="3">
                  <c:v>6000</c:v>
                </c:pt>
                <c:pt idx="4">
                  <c:v>6000</c:v>
                </c:pt>
                <c:pt idx="5">
                  <c:v>5000</c:v>
                </c:pt>
                <c:pt idx="6">
                  <c:v>8000</c:v>
                </c:pt>
                <c:pt idx="7">
                  <c:v>3000</c:v>
                </c:pt>
                <c:pt idx="8">
                  <c:v>12000</c:v>
                </c:pt>
                <c:pt idx="9">
                  <c:v>7000</c:v>
                </c:pt>
                <c:pt idx="10">
                  <c:v>4000</c:v>
                </c:pt>
                <c:pt idx="11">
                  <c:v>5000</c:v>
                </c:pt>
                <c:pt idx="12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0-4467-9A39-8BE96B179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290736368"/>
        <c:axId val="290709008"/>
      </c:barChart>
      <c:catAx>
        <c:axId val="290736368"/>
        <c:scaling>
          <c:orientation val="maxMin"/>
        </c:scaling>
        <c:delete val="1"/>
        <c:axPos val="b"/>
        <c:numFmt formatCode="General" sourceLinked="1"/>
        <c:majorTickMark val="out"/>
        <c:minorTickMark val="none"/>
        <c:tickLblPos val="nextTo"/>
        <c:crossAx val="290709008"/>
        <c:crosses val="autoZero"/>
        <c:auto val="1"/>
        <c:lblAlgn val="ctr"/>
        <c:lblOffset val="100"/>
        <c:noMultiLvlLbl val="0"/>
      </c:catAx>
      <c:valAx>
        <c:axId val="290709008"/>
        <c:scaling>
          <c:orientation val="minMax"/>
        </c:scaling>
        <c:delete val="1"/>
        <c:axPos val="r"/>
        <c:numFmt formatCode="&quot;$&quot;#,##0" sourceLinked="1"/>
        <c:majorTickMark val="none"/>
        <c:minorTickMark val="none"/>
        <c:tickLblPos val="nextTo"/>
        <c:crossAx val="29073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81714785651793"/>
          <c:y val="0.17829701078680252"/>
          <c:w val="0.77829636920384948"/>
          <c:h val="0.745735876377635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'Helper Sheet'!$I$2</c:f>
              <c:strCache>
                <c:ptCount val="1"/>
                <c:pt idx="0">
                  <c:v>CAC</c:v>
                </c:pt>
              </c:strCache>
            </c:strRef>
          </c:tx>
          <c:spPr>
            <a:solidFill>
              <a:srgbClr val="F91F79"/>
            </a:solidFill>
            <a:ln>
              <a:noFill/>
            </a:ln>
            <a:effectLst/>
          </c:spPr>
          <c:invertIfNegative val="0"/>
          <c:cat>
            <c:strRef>
              <c:f>'Helper Sheet'!$G$3:$G$15</c:f>
              <c:strCache>
                <c:ptCount val="13"/>
                <c:pt idx="0">
                  <c:v>September</c:v>
                </c:pt>
                <c:pt idx="1">
                  <c:v>August</c:v>
                </c:pt>
                <c:pt idx="2">
                  <c:v>July</c:v>
                </c:pt>
                <c:pt idx="3">
                  <c:v>June</c:v>
                </c:pt>
                <c:pt idx="4">
                  <c:v>May</c:v>
                </c:pt>
                <c:pt idx="5">
                  <c:v>April</c:v>
                </c:pt>
                <c:pt idx="6">
                  <c:v>March</c:v>
                </c:pt>
                <c:pt idx="7">
                  <c:v>February</c:v>
                </c:pt>
                <c:pt idx="8">
                  <c:v>January</c:v>
                </c:pt>
                <c:pt idx="9">
                  <c:v>December</c:v>
                </c:pt>
                <c:pt idx="10">
                  <c:v>November</c:v>
                </c:pt>
                <c:pt idx="11">
                  <c:v>October</c:v>
                </c:pt>
                <c:pt idx="12">
                  <c:v>September</c:v>
                </c:pt>
              </c:strCache>
            </c:strRef>
          </c:cat>
          <c:val>
            <c:numRef>
              <c:f>'Helper Sheet'!$I$3:$I$15</c:f>
              <c:numCache>
                <c:formatCode>"$"#,##0.00</c:formatCode>
                <c:ptCount val="13"/>
                <c:pt idx="0">
                  <c:v>19.2</c:v>
                </c:pt>
                <c:pt idx="1">
                  <c:v>19.5</c:v>
                </c:pt>
                <c:pt idx="2">
                  <c:v>19.7</c:v>
                </c:pt>
                <c:pt idx="3">
                  <c:v>19.5</c:v>
                </c:pt>
                <c:pt idx="4">
                  <c:v>19.3</c:v>
                </c:pt>
                <c:pt idx="5">
                  <c:v>19.5</c:v>
                </c:pt>
                <c:pt idx="6">
                  <c:v>19.5</c:v>
                </c:pt>
                <c:pt idx="7">
                  <c:v>19.600000000000001</c:v>
                </c:pt>
                <c:pt idx="8">
                  <c:v>19.7</c:v>
                </c:pt>
                <c:pt idx="9">
                  <c:v>19.7</c:v>
                </c:pt>
                <c:pt idx="10">
                  <c:v>19.8</c:v>
                </c:pt>
                <c:pt idx="11">
                  <c:v>20.3</c:v>
                </c:pt>
                <c:pt idx="12">
                  <c:v>20.6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4-4E34-AF5E-91CC90FAB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72295424"/>
        <c:axId val="72301664"/>
      </c:barChart>
      <c:lineChart>
        <c:grouping val="standard"/>
        <c:varyColors val="0"/>
        <c:ser>
          <c:idx val="1"/>
          <c:order val="1"/>
          <c:tx>
            <c:strRef>
              <c:f>'Helper Sheet'!$J$2</c:f>
              <c:strCache>
                <c:ptCount val="1"/>
                <c:pt idx="0">
                  <c:v>CLTV</c:v>
                </c:pt>
              </c:strCache>
            </c:strRef>
          </c:tx>
          <c:spPr>
            <a:ln w="41275" cap="rnd">
              <a:solidFill>
                <a:srgbClr val="00A6FF"/>
              </a:solidFill>
              <a:round/>
            </a:ln>
            <a:effectLst/>
          </c:spPr>
          <c:marker>
            <c:symbol val="none"/>
          </c:marker>
          <c:cat>
            <c:strRef>
              <c:f>'Helper Sheet'!$G$3:$G$15</c:f>
              <c:strCache>
                <c:ptCount val="13"/>
                <c:pt idx="0">
                  <c:v>September</c:v>
                </c:pt>
                <c:pt idx="1">
                  <c:v>August</c:v>
                </c:pt>
                <c:pt idx="2">
                  <c:v>July</c:v>
                </c:pt>
                <c:pt idx="3">
                  <c:v>June</c:v>
                </c:pt>
                <c:pt idx="4">
                  <c:v>May</c:v>
                </c:pt>
                <c:pt idx="5">
                  <c:v>April</c:v>
                </c:pt>
                <c:pt idx="6">
                  <c:v>March</c:v>
                </c:pt>
                <c:pt idx="7">
                  <c:v>February</c:v>
                </c:pt>
                <c:pt idx="8">
                  <c:v>January</c:v>
                </c:pt>
                <c:pt idx="9">
                  <c:v>December</c:v>
                </c:pt>
                <c:pt idx="10">
                  <c:v>November</c:v>
                </c:pt>
                <c:pt idx="11">
                  <c:v>October</c:v>
                </c:pt>
                <c:pt idx="12">
                  <c:v>September</c:v>
                </c:pt>
              </c:strCache>
            </c:strRef>
          </c:cat>
          <c:val>
            <c:numRef>
              <c:f>'Helper Sheet'!$J$3:$J$15</c:f>
              <c:numCache>
                <c:formatCode>"$"#,##0</c:formatCode>
                <c:ptCount val="13"/>
                <c:pt idx="0">
                  <c:v>2768.2768565248739</c:v>
                </c:pt>
                <c:pt idx="1">
                  <c:v>2767.59941089838</c:v>
                </c:pt>
                <c:pt idx="2">
                  <c:v>2763.1460674157302</c:v>
                </c:pt>
                <c:pt idx="3">
                  <c:v>2759.7851112816575</c:v>
                </c:pt>
                <c:pt idx="4">
                  <c:v>2763.6363636363635</c:v>
                </c:pt>
                <c:pt idx="5">
                  <c:v>2702.6813880126183</c:v>
                </c:pt>
                <c:pt idx="6">
                  <c:v>2689.146049481245</c:v>
                </c:pt>
                <c:pt idx="7">
                  <c:v>2668.9739413680782</c:v>
                </c:pt>
                <c:pt idx="8">
                  <c:v>2700.2497918401332</c:v>
                </c:pt>
                <c:pt idx="9">
                  <c:v>2658.3904109589039</c:v>
                </c:pt>
                <c:pt idx="10">
                  <c:v>2646.1067366579177</c:v>
                </c:pt>
                <c:pt idx="11">
                  <c:v>2612.9203539823006</c:v>
                </c:pt>
                <c:pt idx="12">
                  <c:v>2585.3571428571427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894-4E34-AF5E-91CC90FAB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88560"/>
        <c:axId val="129080880"/>
      </c:lineChart>
      <c:catAx>
        <c:axId val="129088560"/>
        <c:scaling>
          <c:orientation val="maxMin"/>
        </c:scaling>
        <c:delete val="1"/>
        <c:axPos val="b"/>
        <c:numFmt formatCode="General" sourceLinked="1"/>
        <c:majorTickMark val="none"/>
        <c:minorTickMark val="none"/>
        <c:tickLblPos val="nextTo"/>
        <c:crossAx val="129080880"/>
        <c:crosses val="autoZero"/>
        <c:auto val="1"/>
        <c:lblAlgn val="ctr"/>
        <c:lblOffset val="100"/>
        <c:tickMarkSkip val="3"/>
        <c:noMultiLvlLbl val="0"/>
      </c:catAx>
      <c:valAx>
        <c:axId val="129080880"/>
        <c:scaling>
          <c:orientation val="minMax"/>
        </c:scaling>
        <c:delete val="0"/>
        <c:axPos val="r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A6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8560"/>
        <c:crosses val="autoZero"/>
        <c:crossBetween val="between"/>
      </c:valAx>
      <c:valAx>
        <c:axId val="72301664"/>
        <c:scaling>
          <c:orientation val="minMax"/>
        </c:scaling>
        <c:delete val="0"/>
        <c:axPos val="l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91F79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72295424"/>
        <c:crosses val="autoZero"/>
        <c:crossBetween val="between"/>
      </c:valAx>
      <c:catAx>
        <c:axId val="72295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301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1215987482549337"/>
          <c:y val="4.1847935665603256E-2"/>
          <c:w val="0.26961701662292215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svg"/><Relationship Id="rId13" Type="http://schemas.openxmlformats.org/officeDocument/2006/relationships/chart" Target="../charts/chart3.xml"/><Relationship Id="rId3" Type="http://schemas.openxmlformats.org/officeDocument/2006/relationships/image" Target="../media/image2.svg"/><Relationship Id="rId7" Type="http://schemas.openxmlformats.org/officeDocument/2006/relationships/image" Target="../media/image5.png"/><Relationship Id="rId12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11" Type="http://schemas.openxmlformats.org/officeDocument/2006/relationships/image" Target="../media/image10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image" Target="../media/image2.pn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536715</xdr:colOff>
      <xdr:row>26</xdr:row>
      <xdr:rowOff>163285</xdr:rowOff>
    </xdr:from>
    <xdr:to>
      <xdr:col>14</xdr:col>
      <xdr:colOff>1212574</xdr:colOff>
      <xdr:row>39</xdr:row>
      <xdr:rowOff>21772</xdr:rowOff>
    </xdr:to>
    <xdr:sp macro="" textlink="">
      <xdr:nvSpPr>
        <xdr:cNvPr id="81" name="Rectangle: Rounded Corners 80">
          <a:extLst>
            <a:ext uri="{FF2B5EF4-FFF2-40B4-BE49-F238E27FC236}">
              <a16:creationId xmlns:a16="http://schemas.microsoft.com/office/drawing/2014/main" id="{175E7ED1-B6B7-4C08-B64C-9F08E367D966}"/>
            </a:ext>
          </a:extLst>
        </xdr:cNvPr>
        <xdr:cNvSpPr/>
      </xdr:nvSpPr>
      <xdr:spPr>
        <a:xfrm>
          <a:off x="7594412" y="5202995"/>
          <a:ext cx="2262921" cy="2044639"/>
        </a:xfrm>
        <a:prstGeom prst="roundRect">
          <a:avLst>
            <a:gd name="adj" fmla="val 3906"/>
          </a:avLst>
        </a:prstGeom>
        <a:solidFill>
          <a:srgbClr val="795EEB"/>
        </a:solidFill>
        <a:ln>
          <a:noFill/>
        </a:ln>
        <a:effectLst>
          <a:outerShdw blurRad="76200" dist="50800" dir="3000000" algn="tl" rotWithShape="0">
            <a:srgbClr val="795EEB">
              <a:alpha val="6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13</xdr:col>
      <xdr:colOff>148402</xdr:colOff>
      <xdr:row>29</xdr:row>
      <xdr:rowOff>53524</xdr:rowOff>
    </xdr:from>
    <xdr:to>
      <xdr:col>14</xdr:col>
      <xdr:colOff>996542</xdr:colOff>
      <xdr:row>39</xdr:row>
      <xdr:rowOff>13767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DDFE7D98-564F-4582-A5F8-D86B6C239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347806</xdr:colOff>
      <xdr:row>26</xdr:row>
      <xdr:rowOff>163285</xdr:rowOff>
    </xdr:from>
    <xdr:to>
      <xdr:col>12</xdr:col>
      <xdr:colOff>228600</xdr:colOff>
      <xdr:row>39</xdr:row>
      <xdr:rowOff>21772</xdr:rowOff>
    </xdr:to>
    <xdr:sp macro="" textlink="">
      <xdr:nvSpPr>
        <xdr:cNvPr id="70" name="Rectangle: Rounded Corners 69">
          <a:extLst>
            <a:ext uri="{FF2B5EF4-FFF2-40B4-BE49-F238E27FC236}">
              <a16:creationId xmlns:a16="http://schemas.microsoft.com/office/drawing/2014/main" id="{5F216ABB-D3CB-4BD9-9FE5-B0713CCFF2FE}"/>
            </a:ext>
          </a:extLst>
        </xdr:cNvPr>
        <xdr:cNvSpPr/>
      </xdr:nvSpPr>
      <xdr:spPr>
        <a:xfrm>
          <a:off x="347806" y="5159355"/>
          <a:ext cx="6937577" cy="2011965"/>
        </a:xfrm>
        <a:prstGeom prst="roundRect">
          <a:avLst>
            <a:gd name="adj" fmla="val 3906"/>
          </a:avLst>
        </a:prstGeom>
        <a:solidFill>
          <a:schemeClr val="bg1"/>
        </a:solidFill>
        <a:ln>
          <a:noFill/>
        </a:ln>
        <a:effectLst>
          <a:outerShdw blurRad="76200" dist="50800" dir="3000000" algn="tl" rotWithShape="0">
            <a:schemeClr val="tx1">
              <a:lumMod val="65000"/>
              <a:lumOff val="35000"/>
              <a:alpha val="6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347806</xdr:colOff>
      <xdr:row>3</xdr:row>
      <xdr:rowOff>199352</xdr:rowOff>
    </xdr:from>
    <xdr:to>
      <xdr:col>4</xdr:col>
      <xdr:colOff>327314</xdr:colOff>
      <xdr:row>7</xdr:row>
      <xdr:rowOff>121920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EE18BBBC-637A-0BA8-FF27-4BFA837BC957}"/>
            </a:ext>
          </a:extLst>
        </xdr:cNvPr>
        <xdr:cNvGrpSpPr/>
      </xdr:nvGrpSpPr>
      <xdr:grpSpPr>
        <a:xfrm>
          <a:off x="347806" y="801332"/>
          <a:ext cx="2158828" cy="1172248"/>
          <a:chOff x="347806" y="1000446"/>
          <a:chExt cx="2159491" cy="1168272"/>
        </a:xfrm>
      </xdr:grpSpPr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558F8D0A-01EC-4B5C-87DC-EED97995735B}"/>
              </a:ext>
            </a:extLst>
          </xdr:cNvPr>
          <xdr:cNvSpPr/>
        </xdr:nvSpPr>
        <xdr:spPr>
          <a:xfrm>
            <a:off x="347806" y="1000446"/>
            <a:ext cx="2159491" cy="1168272"/>
          </a:xfrm>
          <a:prstGeom prst="roundRect">
            <a:avLst/>
          </a:prstGeom>
          <a:solidFill>
            <a:srgbClr val="795E87"/>
          </a:solidFill>
          <a:ln>
            <a:noFill/>
          </a:ln>
          <a:effectLst>
            <a:outerShdw blurRad="76200" dist="50800" dir="3000000" algn="tl" rotWithShape="0">
              <a:srgbClr val="795E87">
                <a:alpha val="6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Helper Sheet'!D5">
        <xdr:nvSpPr>
          <xdr:cNvPr id="3" name="TextBox 2">
            <a:extLst>
              <a:ext uri="{FF2B5EF4-FFF2-40B4-BE49-F238E27FC236}">
                <a16:creationId xmlns:a16="http://schemas.microsoft.com/office/drawing/2014/main" id="{FB6751AE-7183-A51D-957B-4A642D693624}"/>
              </a:ext>
            </a:extLst>
          </xdr:cNvPr>
          <xdr:cNvSpPr txBox="1"/>
        </xdr:nvSpPr>
        <xdr:spPr>
          <a:xfrm>
            <a:off x="459811" y="1897586"/>
            <a:ext cx="1935480" cy="218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36000" rIns="36000" bIns="36000" rtlCol="0" anchor="ctr" anchorCtr="0">
            <a:noAutofit/>
          </a:bodyPr>
          <a:lstStyle/>
          <a:p>
            <a:pPr algn="ctr"/>
            <a:fld id="{C5656D21-815C-421F-8787-2C7785DD130F}" type="TxLink">
              <a:rPr lang="en-US" sz="900" b="1" i="0" u="none" strike="noStrike">
                <a:solidFill>
                  <a:srgbClr val="FFFFFF"/>
                </a:solidFill>
                <a:latin typeface="Bahnschrift"/>
              </a:rPr>
              <a:pPr algn="ctr"/>
              <a:t>Monthly Recurring Revenue (MRR)</a:t>
            </a:fld>
            <a:endParaRPr lang="en-US" sz="1050" b="1"/>
          </a:p>
        </xdr:txBody>
      </xdr:sp>
      <xdr:sp macro="" textlink="'Helper Sheet'!E5">
        <xdr:nvSpPr>
          <xdr:cNvPr id="4" name="TextBox 3">
            <a:extLst>
              <a:ext uri="{FF2B5EF4-FFF2-40B4-BE49-F238E27FC236}">
                <a16:creationId xmlns:a16="http://schemas.microsoft.com/office/drawing/2014/main" id="{50ED7739-5B14-44A9-9B9E-5B42AEEA983E}"/>
              </a:ext>
            </a:extLst>
          </xdr:cNvPr>
          <xdr:cNvSpPr txBox="1"/>
        </xdr:nvSpPr>
        <xdr:spPr>
          <a:xfrm>
            <a:off x="406471" y="1477617"/>
            <a:ext cx="2042160" cy="43825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ctr"/>
            <a:fld id="{5505769D-EE7E-44DC-A2F5-AFB2ABD7F3B3}" type="TxLink">
              <a:rPr lang="en-US" sz="2800" b="1" i="0" u="none" strike="noStrike">
                <a:solidFill>
                  <a:schemeClr val="bg1"/>
                </a:solidFill>
                <a:latin typeface="Bahnschrift"/>
              </a:rPr>
              <a:pPr algn="ctr"/>
              <a:t>$331,000</a:t>
            </a:fld>
            <a:endParaRPr lang="en-US" sz="3200" b="1">
              <a:solidFill>
                <a:schemeClr val="bg1"/>
              </a:solidFill>
            </a:endParaRPr>
          </a:p>
        </xdr:txBody>
      </xdr:sp>
      <xdr:pic>
        <xdr:nvPicPr>
          <xdr:cNvPr id="5" name="Graphic 4">
            <a:extLst>
              <a:ext uri="{FF2B5EF4-FFF2-40B4-BE49-F238E27FC236}">
                <a16:creationId xmlns:a16="http://schemas.microsoft.com/office/drawing/2014/main" id="{3B21F8FC-06E0-F224-8A0E-278E751364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246980" y="1069780"/>
            <a:ext cx="361142" cy="360000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561166</xdr:colOff>
      <xdr:row>3</xdr:row>
      <xdr:rowOff>199352</xdr:rowOff>
    </xdr:from>
    <xdr:to>
      <xdr:col>8</xdr:col>
      <xdr:colOff>281594</xdr:colOff>
      <xdr:row>7</xdr:row>
      <xdr:rowOff>121920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9F46BD79-6833-D609-FCEE-ABFA3110914B}"/>
            </a:ext>
          </a:extLst>
        </xdr:cNvPr>
        <xdr:cNvGrpSpPr/>
      </xdr:nvGrpSpPr>
      <xdr:grpSpPr>
        <a:xfrm>
          <a:off x="2740486" y="801332"/>
          <a:ext cx="2158828" cy="1172248"/>
          <a:chOff x="2741658" y="1055137"/>
          <a:chExt cx="2158828" cy="1165214"/>
        </a:xfrm>
      </xdr:grpSpPr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F168CAAC-AE4E-4BD8-BBA1-2A21DAC663C8}"/>
              </a:ext>
            </a:extLst>
          </xdr:cNvPr>
          <xdr:cNvGrpSpPr/>
        </xdr:nvGrpSpPr>
        <xdr:grpSpPr>
          <a:xfrm>
            <a:off x="2741658" y="1055137"/>
            <a:ext cx="2158828" cy="1165214"/>
            <a:chOff x="347806" y="1000446"/>
            <a:chExt cx="2159491" cy="1168272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A339EC94-F8AB-BCAE-DAC4-372A9631D11B}"/>
                </a:ext>
              </a:extLst>
            </xdr:cNvPr>
            <xdr:cNvSpPr/>
          </xdr:nvSpPr>
          <xdr:spPr>
            <a:xfrm>
              <a:off x="347806" y="1000446"/>
              <a:ext cx="2159491" cy="1168272"/>
            </a:xfrm>
            <a:prstGeom prst="roundRect">
              <a:avLst/>
            </a:prstGeom>
            <a:solidFill>
              <a:srgbClr val="795EEB"/>
            </a:solidFill>
            <a:ln>
              <a:noFill/>
            </a:ln>
            <a:effectLst>
              <a:outerShdw blurRad="76200" dist="50800" dir="3000000" algn="tl" rotWithShape="0">
                <a:srgbClr val="795EEB">
                  <a:alpha val="60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'Helper Sheet'!D2">
          <xdr:nvSpPr>
            <xdr:cNvPr id="9" name="TextBox 8">
              <a:extLst>
                <a:ext uri="{FF2B5EF4-FFF2-40B4-BE49-F238E27FC236}">
                  <a16:creationId xmlns:a16="http://schemas.microsoft.com/office/drawing/2014/main" id="{B40183FA-328E-D043-D5B7-B1DDDBB3670A}"/>
                </a:ext>
              </a:extLst>
            </xdr:cNvPr>
            <xdr:cNvSpPr txBox="1"/>
          </xdr:nvSpPr>
          <xdr:spPr>
            <a:xfrm>
              <a:off x="459811" y="1897586"/>
              <a:ext cx="1935480" cy="218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ctr"/>
              <a:fld id="{3FA5ADC9-B869-4677-8BE5-F2903BA79550}" type="TxLink">
                <a:rPr lang="en-US" sz="900" b="1" i="0" u="none" strike="noStrike">
                  <a:solidFill>
                    <a:srgbClr val="FFFFFF"/>
                  </a:solidFill>
                  <a:latin typeface="Bahnschrift"/>
                </a:rPr>
                <a:pPr algn="ctr"/>
                <a:t>Active Accounts</a:t>
              </a:fld>
              <a:endParaRPr lang="en-US" sz="1000" b="1"/>
            </a:p>
          </xdr:txBody>
        </xdr:sp>
        <xdr:sp macro="" textlink="'Helper Sheet'!E2">
          <xdr:nvSpPr>
            <xdr:cNvPr id="10" name="TextBox 9">
              <a:extLst>
                <a:ext uri="{FF2B5EF4-FFF2-40B4-BE49-F238E27FC236}">
                  <a16:creationId xmlns:a16="http://schemas.microsoft.com/office/drawing/2014/main" id="{428E8187-2D40-A7C3-558A-73957D55F31E}"/>
                </a:ext>
              </a:extLst>
            </xdr:cNvPr>
            <xdr:cNvSpPr txBox="1"/>
          </xdr:nvSpPr>
          <xdr:spPr>
            <a:xfrm>
              <a:off x="406471" y="1477617"/>
              <a:ext cx="2042160" cy="4382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fld id="{5626943C-EB23-4501-A2F7-371D54D2B38D}" type="TxLink">
                <a:rPr lang="en-US" sz="28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1,387</a:t>
              </a:fld>
              <a:endParaRPr lang="en-US" sz="8000" b="1">
                <a:solidFill>
                  <a:schemeClr val="bg1"/>
                </a:solidFill>
              </a:endParaRPr>
            </a:p>
          </xdr:txBody>
        </xdr:sp>
      </xdr:grpSp>
      <xdr:pic>
        <xdr:nvPicPr>
          <xdr:cNvPr id="48" name="Picture 47">
            <a:extLst>
              <a:ext uri="{FF2B5EF4-FFF2-40B4-BE49-F238E27FC236}">
                <a16:creationId xmlns:a16="http://schemas.microsoft.com/office/drawing/2014/main" id="{2815CC81-E64B-8A65-4287-A5157C8E81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52914" y="1137139"/>
            <a:ext cx="336316" cy="36000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515446</xdr:colOff>
      <xdr:row>3</xdr:row>
      <xdr:rowOff>199352</xdr:rowOff>
    </xdr:from>
    <xdr:to>
      <xdr:col>12</xdr:col>
      <xdr:colOff>235874</xdr:colOff>
      <xdr:row>7</xdr:row>
      <xdr:rowOff>121920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3B67C6A3-E481-7EE5-CA9A-8EA6661EF966}"/>
            </a:ext>
          </a:extLst>
        </xdr:cNvPr>
        <xdr:cNvGrpSpPr/>
      </xdr:nvGrpSpPr>
      <xdr:grpSpPr>
        <a:xfrm>
          <a:off x="5133166" y="801332"/>
          <a:ext cx="2158828" cy="1172248"/>
          <a:chOff x="5134338" y="1055137"/>
          <a:chExt cx="2158828" cy="1165214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B70BAF13-4ED4-45A1-9F21-A2A1AE008CEC}"/>
              </a:ext>
            </a:extLst>
          </xdr:cNvPr>
          <xdr:cNvGrpSpPr/>
        </xdr:nvGrpSpPr>
        <xdr:grpSpPr>
          <a:xfrm>
            <a:off x="5134338" y="1055137"/>
            <a:ext cx="2158828" cy="1165214"/>
            <a:chOff x="347806" y="1000446"/>
            <a:chExt cx="2159491" cy="1168272"/>
          </a:xfrm>
        </xdr:grpSpPr>
        <xdr:sp macro="" textlink="">
          <xdr:nvSpPr>
            <xdr:cNvPr id="16" name="Rectangle: Rounded Corners 15">
              <a:extLst>
                <a:ext uri="{FF2B5EF4-FFF2-40B4-BE49-F238E27FC236}">
                  <a16:creationId xmlns:a16="http://schemas.microsoft.com/office/drawing/2014/main" id="{AA718D4C-51CD-F7BC-8B34-5C804D94CC50}"/>
                </a:ext>
              </a:extLst>
            </xdr:cNvPr>
            <xdr:cNvSpPr/>
          </xdr:nvSpPr>
          <xdr:spPr>
            <a:xfrm>
              <a:off x="347806" y="1000446"/>
              <a:ext cx="2159491" cy="1168272"/>
            </a:xfrm>
            <a:prstGeom prst="roundRect">
              <a:avLst/>
            </a:prstGeom>
            <a:solidFill>
              <a:srgbClr val="0061AC"/>
            </a:solidFill>
            <a:ln>
              <a:noFill/>
            </a:ln>
            <a:effectLst>
              <a:outerShdw blurRad="76200" dist="50800" dir="3000000" algn="tl" rotWithShape="0">
                <a:srgbClr val="0061AC">
                  <a:alpha val="60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'Helper Sheet'!D3">
          <xdr:nvSpPr>
            <xdr:cNvPr id="19" name="TextBox 18">
              <a:extLst>
                <a:ext uri="{FF2B5EF4-FFF2-40B4-BE49-F238E27FC236}">
                  <a16:creationId xmlns:a16="http://schemas.microsoft.com/office/drawing/2014/main" id="{E51FDF97-6977-6249-4EE2-11E39566C76C}"/>
                </a:ext>
              </a:extLst>
            </xdr:cNvPr>
            <xdr:cNvSpPr txBox="1"/>
          </xdr:nvSpPr>
          <xdr:spPr>
            <a:xfrm>
              <a:off x="459811" y="1897586"/>
              <a:ext cx="1935480" cy="218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ctr"/>
              <a:fld id="{CA324CF3-9ABB-4ADA-83D4-A14929AB7A2B}" type="TxLink">
                <a:rPr lang="en-US" sz="900" b="1" i="0" u="none" strike="noStrike">
                  <a:solidFill>
                    <a:srgbClr val="FFFFFF"/>
                  </a:solidFill>
                  <a:latin typeface="Bahnschrift"/>
                </a:rPr>
                <a:pPr algn="ctr"/>
                <a:t>New Accounts</a:t>
              </a:fld>
              <a:endParaRPr lang="en-US" sz="1000" b="1"/>
            </a:p>
          </xdr:txBody>
        </xdr:sp>
        <xdr:sp macro="" textlink="'Helper Sheet'!E3">
          <xdr:nvSpPr>
            <xdr:cNvPr id="22" name="TextBox 21">
              <a:extLst>
                <a:ext uri="{FF2B5EF4-FFF2-40B4-BE49-F238E27FC236}">
                  <a16:creationId xmlns:a16="http://schemas.microsoft.com/office/drawing/2014/main" id="{373CEC4C-FD27-31B3-7F33-926666A78361}"/>
                </a:ext>
              </a:extLst>
            </xdr:cNvPr>
            <xdr:cNvSpPr txBox="1"/>
          </xdr:nvSpPr>
          <xdr:spPr>
            <a:xfrm>
              <a:off x="406471" y="1477617"/>
              <a:ext cx="2042160" cy="4382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fld id="{E3B6C72E-2C4E-4691-A068-8EB61CDB4445}" type="TxLink">
                <a:rPr lang="en-US" sz="28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57</a:t>
              </a:fld>
              <a:endParaRPr lang="en-US" sz="2800" b="1">
                <a:solidFill>
                  <a:schemeClr val="bg1"/>
                </a:solidFill>
              </a:endParaRPr>
            </a:p>
          </xdr:txBody>
        </xdr:sp>
      </xdr:grpSp>
      <xdr:pic>
        <xdr:nvPicPr>
          <xdr:cNvPr id="51" name="Picture 50">
            <a:extLst>
              <a:ext uri="{FF2B5EF4-FFF2-40B4-BE49-F238E27FC236}">
                <a16:creationId xmlns:a16="http://schemas.microsoft.com/office/drawing/2014/main" id="{A0CF4E9C-5D86-3980-10A8-1E010B43A4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46119" y="1137138"/>
            <a:ext cx="335267" cy="3600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347806</xdr:colOff>
      <xdr:row>9</xdr:row>
      <xdr:rowOff>111722</xdr:rowOff>
    </xdr:from>
    <xdr:to>
      <xdr:col>4</xdr:col>
      <xdr:colOff>329491</xdr:colOff>
      <xdr:row>16</xdr:row>
      <xdr:rowOff>110490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85CEA30B-30FC-607E-2231-4C9E58967706}"/>
            </a:ext>
          </a:extLst>
        </xdr:cNvPr>
        <xdr:cNvGrpSpPr/>
      </xdr:nvGrpSpPr>
      <xdr:grpSpPr>
        <a:xfrm>
          <a:off x="347806" y="2298662"/>
          <a:ext cx="2161005" cy="1172248"/>
          <a:chOff x="347806" y="2550122"/>
          <a:chExt cx="2162177" cy="1188660"/>
        </a:xfrm>
      </xdr:grpSpPr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BB3B2E47-1934-4728-A46A-139713F18181}"/>
              </a:ext>
            </a:extLst>
          </xdr:cNvPr>
          <xdr:cNvGrpSpPr/>
        </xdr:nvGrpSpPr>
        <xdr:grpSpPr>
          <a:xfrm>
            <a:off x="347806" y="2550122"/>
            <a:ext cx="2162177" cy="1188660"/>
            <a:chOff x="347806" y="1000446"/>
            <a:chExt cx="2159491" cy="1168272"/>
          </a:xfrm>
        </xdr:grpSpPr>
        <xdr:sp macro="" textlink="">
          <xdr:nvSpPr>
            <xdr:cNvPr id="25" name="Rectangle: Rounded Corners 24">
              <a:extLst>
                <a:ext uri="{FF2B5EF4-FFF2-40B4-BE49-F238E27FC236}">
                  <a16:creationId xmlns:a16="http://schemas.microsoft.com/office/drawing/2014/main" id="{E0A10233-3F9D-8E1A-FB1A-710F454B0907}"/>
                </a:ext>
              </a:extLst>
            </xdr:cNvPr>
            <xdr:cNvSpPr/>
          </xdr:nvSpPr>
          <xdr:spPr>
            <a:xfrm>
              <a:off x="347806" y="1000446"/>
              <a:ext cx="2159491" cy="1168272"/>
            </a:xfrm>
            <a:prstGeom prst="roundRect">
              <a:avLst/>
            </a:prstGeom>
            <a:solidFill>
              <a:srgbClr val="F91F79"/>
            </a:solidFill>
            <a:ln>
              <a:noFill/>
            </a:ln>
            <a:effectLst>
              <a:outerShdw blurRad="76200" dist="50800" dir="3000000" algn="tl" rotWithShape="0">
                <a:srgbClr val="F91F79">
                  <a:alpha val="60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'Helper Sheet'!D6">
          <xdr:nvSpPr>
            <xdr:cNvPr id="26" name="TextBox 25">
              <a:extLst>
                <a:ext uri="{FF2B5EF4-FFF2-40B4-BE49-F238E27FC236}">
                  <a16:creationId xmlns:a16="http://schemas.microsoft.com/office/drawing/2014/main" id="{384B26B0-BD80-ADDA-8C48-6E9D19ABD08B}"/>
                </a:ext>
              </a:extLst>
            </xdr:cNvPr>
            <xdr:cNvSpPr txBox="1"/>
          </xdr:nvSpPr>
          <xdr:spPr>
            <a:xfrm>
              <a:off x="459811" y="1897586"/>
              <a:ext cx="1935480" cy="218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ctr"/>
              <a:fld id="{D0904A68-4353-406C-81C5-A1BF30547F66}" type="TxLink">
                <a:rPr lang="en-US" sz="900" b="1" i="0" u="none" strike="noStrike">
                  <a:solidFill>
                    <a:srgbClr val="FFFFFF"/>
                  </a:solidFill>
                  <a:latin typeface="Bahnschrift"/>
                </a:rPr>
                <a:pPr algn="ctr"/>
                <a:t>Customer Acquisition Cost (CAC)</a:t>
              </a:fld>
              <a:endParaRPr lang="en-US" sz="1000" b="1"/>
            </a:p>
          </xdr:txBody>
        </xdr:sp>
        <xdr:sp macro="" textlink="'Helper Sheet'!E6">
          <xdr:nvSpPr>
            <xdr:cNvPr id="27" name="TextBox 26">
              <a:extLst>
                <a:ext uri="{FF2B5EF4-FFF2-40B4-BE49-F238E27FC236}">
                  <a16:creationId xmlns:a16="http://schemas.microsoft.com/office/drawing/2014/main" id="{70BEF118-2153-7943-6EA5-D3C2B30300A0}"/>
                </a:ext>
              </a:extLst>
            </xdr:cNvPr>
            <xdr:cNvSpPr txBox="1"/>
          </xdr:nvSpPr>
          <xdr:spPr>
            <a:xfrm>
              <a:off x="406471" y="1477617"/>
              <a:ext cx="2042160" cy="4382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fld id="{C0409C5F-E9AC-40E7-A9EF-6F7D022A0AA6}" type="TxLink">
                <a:rPr lang="en-US" sz="28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$19.20</a:t>
              </a:fld>
              <a:endParaRPr lang="en-US" sz="2800" b="1">
                <a:solidFill>
                  <a:schemeClr val="bg1"/>
                </a:solidFill>
              </a:endParaRPr>
            </a:p>
          </xdr:txBody>
        </xdr:sp>
      </xdr:grpSp>
      <xdr:pic>
        <xdr:nvPicPr>
          <xdr:cNvPr id="55" name="Picture 54">
            <a:extLst>
              <a:ext uri="{FF2B5EF4-FFF2-40B4-BE49-F238E27FC236}">
                <a16:creationId xmlns:a16="http://schemas.microsoft.com/office/drawing/2014/main" id="{E8814772-D638-1B92-FAF2-A6CB98DA31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16269" y="2622574"/>
            <a:ext cx="425250" cy="400689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561166</xdr:colOff>
      <xdr:row>9</xdr:row>
      <xdr:rowOff>111722</xdr:rowOff>
    </xdr:from>
    <xdr:to>
      <xdr:col>8</xdr:col>
      <xdr:colOff>281594</xdr:colOff>
      <xdr:row>16</xdr:row>
      <xdr:rowOff>110490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FEC4CDB7-928F-7344-85BC-61F8D58611D8}"/>
            </a:ext>
          </a:extLst>
        </xdr:cNvPr>
        <xdr:cNvGrpSpPr/>
      </xdr:nvGrpSpPr>
      <xdr:grpSpPr>
        <a:xfrm>
          <a:off x="2740486" y="2298662"/>
          <a:ext cx="2158828" cy="1172248"/>
          <a:chOff x="2739590" y="2568051"/>
          <a:chExt cx="2158828" cy="1191074"/>
        </a:xfrm>
      </xdr:grpSpPr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04160DBF-64ED-4642-AE1E-8D4C636413AE}"/>
              </a:ext>
            </a:extLst>
          </xdr:cNvPr>
          <xdr:cNvGrpSpPr/>
        </xdr:nvGrpSpPr>
        <xdr:grpSpPr>
          <a:xfrm>
            <a:off x="2739590" y="2568051"/>
            <a:ext cx="2158828" cy="1191074"/>
            <a:chOff x="347806" y="1000446"/>
            <a:chExt cx="2159491" cy="1168272"/>
          </a:xfrm>
        </xdr:grpSpPr>
        <xdr:sp macro="" textlink="">
          <xdr:nvSpPr>
            <xdr:cNvPr id="30" name="Rectangle: Rounded Corners 29">
              <a:extLst>
                <a:ext uri="{FF2B5EF4-FFF2-40B4-BE49-F238E27FC236}">
                  <a16:creationId xmlns:a16="http://schemas.microsoft.com/office/drawing/2014/main" id="{497AA297-3817-DD98-129C-0050E56D01CD}"/>
                </a:ext>
              </a:extLst>
            </xdr:cNvPr>
            <xdr:cNvSpPr/>
          </xdr:nvSpPr>
          <xdr:spPr>
            <a:xfrm>
              <a:off x="347806" y="1000446"/>
              <a:ext cx="2159491" cy="1168272"/>
            </a:xfrm>
            <a:prstGeom prst="roundRect">
              <a:avLst/>
            </a:prstGeom>
            <a:solidFill>
              <a:srgbClr val="00A6FF"/>
            </a:solidFill>
            <a:ln>
              <a:noFill/>
            </a:ln>
            <a:effectLst>
              <a:outerShdw blurRad="76200" dist="50800" dir="3000000" algn="tl" rotWithShape="0">
                <a:srgbClr val="00A6FF">
                  <a:alpha val="60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'Helper Sheet'!D7">
          <xdr:nvSpPr>
            <xdr:cNvPr id="31" name="TextBox 30">
              <a:extLst>
                <a:ext uri="{FF2B5EF4-FFF2-40B4-BE49-F238E27FC236}">
                  <a16:creationId xmlns:a16="http://schemas.microsoft.com/office/drawing/2014/main" id="{A6AB3D08-B729-67ED-574A-8D2DE49BD451}"/>
                </a:ext>
              </a:extLst>
            </xdr:cNvPr>
            <xdr:cNvSpPr txBox="1"/>
          </xdr:nvSpPr>
          <xdr:spPr>
            <a:xfrm>
              <a:off x="459811" y="1897586"/>
              <a:ext cx="1935480" cy="218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ctr"/>
              <a:fld id="{44E26CBB-FC8F-42F3-B100-88DC99C613E9}" type="TxLink">
                <a:rPr lang="en-US" sz="900" b="1" i="0" u="none" strike="noStrike">
                  <a:solidFill>
                    <a:srgbClr val="FFFFFF"/>
                  </a:solidFill>
                  <a:latin typeface="Bahnschrift"/>
                </a:rPr>
                <a:pPr algn="ctr"/>
                <a:t>Customer Lifetime Value (CLTV)</a:t>
              </a:fld>
              <a:endParaRPr lang="en-US" sz="1000" b="1"/>
            </a:p>
          </xdr:txBody>
        </xdr:sp>
        <xdr:sp macro="" textlink="'Helper Sheet'!E7">
          <xdr:nvSpPr>
            <xdr:cNvPr id="32" name="TextBox 31">
              <a:extLst>
                <a:ext uri="{FF2B5EF4-FFF2-40B4-BE49-F238E27FC236}">
                  <a16:creationId xmlns:a16="http://schemas.microsoft.com/office/drawing/2014/main" id="{8AA1C89D-D057-BAE8-891A-8EBB746F18A4}"/>
                </a:ext>
              </a:extLst>
            </xdr:cNvPr>
            <xdr:cNvSpPr txBox="1"/>
          </xdr:nvSpPr>
          <xdr:spPr>
            <a:xfrm>
              <a:off x="406471" y="1477617"/>
              <a:ext cx="2042160" cy="4382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fld id="{9AC66989-E91D-4766-BED0-13B5DEA12598}" type="TxLink">
                <a:rPr lang="en-US" sz="28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$2,768</a:t>
              </a:fld>
              <a:endParaRPr lang="en-US" sz="8000" b="1">
                <a:solidFill>
                  <a:schemeClr val="bg1"/>
                </a:solidFill>
              </a:endParaRPr>
            </a:p>
          </xdr:txBody>
        </xdr:sp>
      </xdr:grpSp>
      <xdr:pic>
        <xdr:nvPicPr>
          <xdr:cNvPr id="57" name="Graphic 56">
            <a:extLst>
              <a:ext uri="{FF2B5EF4-FFF2-40B4-BE49-F238E27FC236}">
                <a16:creationId xmlns:a16="http://schemas.microsoft.com/office/drawing/2014/main" id="{EF067DEB-AAB3-5119-4EE1-5CF9117A4F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xmlns="" r:embed="rId8"/>
              </a:ext>
            </a:extLst>
          </a:blip>
          <a:stretch>
            <a:fillRect/>
          </a:stretch>
        </xdr:blipFill>
        <xdr:spPr>
          <a:xfrm>
            <a:off x="3636637" y="2662518"/>
            <a:ext cx="364735" cy="3600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347806</xdr:colOff>
      <xdr:row>18</xdr:row>
      <xdr:rowOff>100292</xdr:rowOff>
    </xdr:from>
    <xdr:to>
      <xdr:col>4</xdr:col>
      <xdr:colOff>329491</xdr:colOff>
      <xdr:row>25</xdr:row>
      <xdr:rowOff>99060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CD155FD2-9564-6B3F-C6B4-2FD78681D3D1}"/>
            </a:ext>
          </a:extLst>
        </xdr:cNvPr>
        <xdr:cNvGrpSpPr/>
      </xdr:nvGrpSpPr>
      <xdr:grpSpPr>
        <a:xfrm>
          <a:off x="347806" y="3795992"/>
          <a:ext cx="2161005" cy="1172248"/>
          <a:chOff x="347806" y="4022935"/>
          <a:chExt cx="2161668" cy="1158334"/>
        </a:xfrm>
      </xdr:grpSpPr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3F99DFA5-4CA8-4B69-B8EA-905CAF060907}"/>
              </a:ext>
            </a:extLst>
          </xdr:cNvPr>
          <xdr:cNvGrpSpPr/>
        </xdr:nvGrpSpPr>
        <xdr:grpSpPr>
          <a:xfrm>
            <a:off x="347806" y="4022935"/>
            <a:ext cx="2161668" cy="1158334"/>
            <a:chOff x="347806" y="1000446"/>
            <a:chExt cx="2159491" cy="1168272"/>
          </a:xfrm>
        </xdr:grpSpPr>
        <xdr:sp macro="" textlink="">
          <xdr:nvSpPr>
            <xdr:cNvPr id="35" name="Rectangle: Rounded Corners 34">
              <a:extLst>
                <a:ext uri="{FF2B5EF4-FFF2-40B4-BE49-F238E27FC236}">
                  <a16:creationId xmlns:a16="http://schemas.microsoft.com/office/drawing/2014/main" id="{4795B1D5-516B-E2CB-6995-DEBF839C3398}"/>
                </a:ext>
              </a:extLst>
            </xdr:cNvPr>
            <xdr:cNvSpPr/>
          </xdr:nvSpPr>
          <xdr:spPr>
            <a:xfrm>
              <a:off x="347806" y="1000446"/>
              <a:ext cx="2159491" cy="1168272"/>
            </a:xfrm>
            <a:prstGeom prst="roundRect">
              <a:avLst/>
            </a:prstGeom>
            <a:solidFill>
              <a:srgbClr val="9ACE6C"/>
            </a:solidFill>
            <a:ln>
              <a:noFill/>
            </a:ln>
            <a:effectLst>
              <a:outerShdw blurRad="76200" dist="50800" dir="3000000" algn="tl" rotWithShape="0">
                <a:srgbClr val="9ACE6C">
                  <a:alpha val="60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'Helper Sheet'!D4">
          <xdr:nvSpPr>
            <xdr:cNvPr id="36" name="TextBox 35">
              <a:extLst>
                <a:ext uri="{FF2B5EF4-FFF2-40B4-BE49-F238E27FC236}">
                  <a16:creationId xmlns:a16="http://schemas.microsoft.com/office/drawing/2014/main" id="{771829DF-A9FC-E5AF-499E-707498DEA928}"/>
                </a:ext>
              </a:extLst>
            </xdr:cNvPr>
            <xdr:cNvSpPr txBox="1"/>
          </xdr:nvSpPr>
          <xdr:spPr>
            <a:xfrm>
              <a:off x="459811" y="1897586"/>
              <a:ext cx="1935480" cy="218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ctr"/>
              <a:fld id="{6864A11D-9E76-458C-BE58-A8B61AB00514}" type="TxLink">
                <a:rPr lang="en-US" sz="900" b="1" i="0" u="none" strike="noStrike">
                  <a:solidFill>
                    <a:srgbClr val="FFFFFF"/>
                  </a:solidFill>
                  <a:latin typeface="Bahnschrift"/>
                </a:rPr>
                <a:pPr algn="ctr"/>
                <a:t>Churn Rate</a:t>
              </a:fld>
              <a:endParaRPr lang="en-US" sz="1000" b="1"/>
            </a:p>
          </xdr:txBody>
        </xdr:sp>
        <xdr:sp macro="" textlink="'Helper Sheet'!E4">
          <xdr:nvSpPr>
            <xdr:cNvPr id="37" name="TextBox 36">
              <a:extLst>
                <a:ext uri="{FF2B5EF4-FFF2-40B4-BE49-F238E27FC236}">
                  <a16:creationId xmlns:a16="http://schemas.microsoft.com/office/drawing/2014/main" id="{7BD4B21C-A4F5-9DE3-E678-2F550512766A}"/>
                </a:ext>
              </a:extLst>
            </xdr:cNvPr>
            <xdr:cNvSpPr txBox="1"/>
          </xdr:nvSpPr>
          <xdr:spPr>
            <a:xfrm>
              <a:off x="406471" y="1477617"/>
              <a:ext cx="2042160" cy="4382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fld id="{0E113F59-5CD1-4A3A-9981-05C62A22578D}" type="TxLink">
                <a:rPr lang="en-US" sz="28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2.06%</a:t>
              </a:fld>
              <a:endParaRPr lang="en-US" sz="2800" b="1">
                <a:solidFill>
                  <a:schemeClr val="bg1"/>
                </a:solidFill>
              </a:endParaRPr>
            </a:p>
          </xdr:txBody>
        </xdr:sp>
      </xdr:grpSp>
      <xdr:pic>
        <xdr:nvPicPr>
          <xdr:cNvPr id="60" name="Picture 59">
            <a:extLst>
              <a:ext uri="{FF2B5EF4-FFF2-40B4-BE49-F238E27FC236}">
                <a16:creationId xmlns:a16="http://schemas.microsoft.com/office/drawing/2014/main" id="{03EB26D1-09E3-49C5-9DEF-EBA5989F55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0561" y="4103886"/>
            <a:ext cx="336159" cy="345969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561166</xdr:colOff>
      <xdr:row>18</xdr:row>
      <xdr:rowOff>100292</xdr:rowOff>
    </xdr:from>
    <xdr:to>
      <xdr:col>8</xdr:col>
      <xdr:colOff>281594</xdr:colOff>
      <xdr:row>25</xdr:row>
      <xdr:rowOff>99060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3773E457-74D2-DBF3-A16A-4BABDF04F2B0}"/>
            </a:ext>
          </a:extLst>
        </xdr:cNvPr>
        <xdr:cNvGrpSpPr/>
      </xdr:nvGrpSpPr>
      <xdr:grpSpPr>
        <a:xfrm>
          <a:off x="2740486" y="3795992"/>
          <a:ext cx="2158828" cy="1172248"/>
          <a:chOff x="2741149" y="4022935"/>
          <a:chExt cx="2158828" cy="1158334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2DCA74C-82B3-4A80-9958-CBBB00CD3450}"/>
              </a:ext>
            </a:extLst>
          </xdr:cNvPr>
          <xdr:cNvGrpSpPr/>
        </xdr:nvGrpSpPr>
        <xdr:grpSpPr>
          <a:xfrm>
            <a:off x="2741149" y="4022935"/>
            <a:ext cx="2158828" cy="1158334"/>
            <a:chOff x="347806" y="1000446"/>
            <a:chExt cx="2159491" cy="1168272"/>
          </a:xfrm>
        </xdr:grpSpPr>
        <xdr:sp macro="" textlink="">
          <xdr:nvSpPr>
            <xdr:cNvPr id="40" name="Rectangle: Rounded Corners 39">
              <a:extLst>
                <a:ext uri="{FF2B5EF4-FFF2-40B4-BE49-F238E27FC236}">
                  <a16:creationId xmlns:a16="http://schemas.microsoft.com/office/drawing/2014/main" id="{00F50EE9-C383-7F43-C431-57C2DFAB09E1}"/>
                </a:ext>
              </a:extLst>
            </xdr:cNvPr>
            <xdr:cNvSpPr/>
          </xdr:nvSpPr>
          <xdr:spPr>
            <a:xfrm>
              <a:off x="347806" y="1000446"/>
              <a:ext cx="2159491" cy="1168272"/>
            </a:xfrm>
            <a:prstGeom prst="roundRect">
              <a:avLst/>
            </a:prstGeom>
            <a:solidFill>
              <a:srgbClr val="F09682"/>
            </a:solidFill>
            <a:ln>
              <a:noFill/>
            </a:ln>
            <a:effectLst>
              <a:outerShdw blurRad="76200" dist="50800" dir="3000000" algn="tl" rotWithShape="0">
                <a:srgbClr val="F09682">
                  <a:alpha val="60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'Helper Sheet'!D8">
          <xdr:nvSpPr>
            <xdr:cNvPr id="41" name="TextBox 40">
              <a:extLst>
                <a:ext uri="{FF2B5EF4-FFF2-40B4-BE49-F238E27FC236}">
                  <a16:creationId xmlns:a16="http://schemas.microsoft.com/office/drawing/2014/main" id="{CB23CB9B-4DCD-084B-5E8F-206B089EEBED}"/>
                </a:ext>
              </a:extLst>
            </xdr:cNvPr>
            <xdr:cNvSpPr txBox="1"/>
          </xdr:nvSpPr>
          <xdr:spPr>
            <a:xfrm>
              <a:off x="459811" y="1897586"/>
              <a:ext cx="1935480" cy="218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ctr"/>
              <a:fld id="{48FDB75A-D752-4F25-923E-D0725CE5494B}" type="TxLink">
                <a:rPr lang="en-US" sz="9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Net Promoter Score (NPS)</a:t>
              </a:fld>
              <a:endParaRPr lang="en-US" sz="1000" b="1">
                <a:solidFill>
                  <a:schemeClr val="bg1"/>
                </a:solidFill>
              </a:endParaRPr>
            </a:p>
          </xdr:txBody>
        </xdr:sp>
        <xdr:sp macro="" textlink="'Helper Sheet'!E8">
          <xdr:nvSpPr>
            <xdr:cNvPr id="42" name="TextBox 41">
              <a:extLst>
                <a:ext uri="{FF2B5EF4-FFF2-40B4-BE49-F238E27FC236}">
                  <a16:creationId xmlns:a16="http://schemas.microsoft.com/office/drawing/2014/main" id="{47A55B64-3EB0-E89A-47D3-A9BF5CE4EA15}"/>
                </a:ext>
              </a:extLst>
            </xdr:cNvPr>
            <xdr:cNvSpPr txBox="1"/>
          </xdr:nvSpPr>
          <xdr:spPr>
            <a:xfrm>
              <a:off x="406471" y="1477617"/>
              <a:ext cx="2042160" cy="4382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fld id="{91F97DD0-133C-43C9-BB65-2A445291E902}" type="TxLink">
                <a:rPr lang="en-US" sz="28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96%</a:t>
              </a:fld>
              <a:endParaRPr lang="en-US" sz="2800" b="1">
                <a:solidFill>
                  <a:schemeClr val="bg1"/>
                </a:solidFill>
              </a:endParaRPr>
            </a:p>
          </xdr:txBody>
        </xdr:sp>
      </xdr:grpSp>
      <xdr:pic>
        <xdr:nvPicPr>
          <xdr:cNvPr id="62" name="Graphic 61">
            <a:extLst>
              <a:ext uri="{FF2B5EF4-FFF2-40B4-BE49-F238E27FC236}">
                <a16:creationId xmlns:a16="http://schemas.microsoft.com/office/drawing/2014/main" id="{B62BE49D-C4A8-51D8-0CD5-662DDFFA62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xmlns="" r:embed="rId11"/>
              </a:ext>
            </a:extLst>
          </a:blip>
          <a:stretch>
            <a:fillRect/>
          </a:stretch>
        </xdr:blipFill>
        <xdr:spPr>
          <a:xfrm>
            <a:off x="3640563" y="4101548"/>
            <a:ext cx="360000" cy="36000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51955</xdr:colOff>
      <xdr:row>27</xdr:row>
      <xdr:rowOff>54428</xdr:rowOff>
    </xdr:from>
    <xdr:to>
      <xdr:col>12</xdr:col>
      <xdr:colOff>193963</xdr:colOff>
      <xdr:row>38</xdr:row>
      <xdr:rowOff>122268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AEDCFE5-89FC-48FB-8230-39EFAED148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529911</xdr:colOff>
      <xdr:row>9</xdr:row>
      <xdr:rowOff>137160</xdr:rowOff>
    </xdr:from>
    <xdr:to>
      <xdr:col>14</xdr:col>
      <xdr:colOff>1212574</xdr:colOff>
      <xdr:row>25</xdr:row>
      <xdr:rowOff>81406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69B5DA1A-954E-E7FA-AC8B-E4540770A50B}"/>
            </a:ext>
          </a:extLst>
        </xdr:cNvPr>
        <xdr:cNvGrpSpPr/>
      </xdr:nvGrpSpPr>
      <xdr:grpSpPr>
        <a:xfrm>
          <a:off x="5147631" y="2324100"/>
          <a:ext cx="4706023" cy="2626486"/>
          <a:chOff x="5144460" y="2575560"/>
          <a:chExt cx="4699491" cy="2556817"/>
        </a:xfrm>
      </xdr:grpSpPr>
      <xdr:grpSp>
        <xdr:nvGrpSpPr>
          <xdr:cNvPr id="69" name="Group 68">
            <a:extLst>
              <a:ext uri="{FF2B5EF4-FFF2-40B4-BE49-F238E27FC236}">
                <a16:creationId xmlns:a16="http://schemas.microsoft.com/office/drawing/2014/main" id="{24DE62B5-F80D-61E6-96F0-694F1D891EA2}"/>
              </a:ext>
            </a:extLst>
          </xdr:cNvPr>
          <xdr:cNvGrpSpPr/>
        </xdr:nvGrpSpPr>
        <xdr:grpSpPr>
          <a:xfrm>
            <a:off x="5144460" y="2575560"/>
            <a:ext cx="4699491" cy="2556817"/>
            <a:chOff x="5146637" y="2590800"/>
            <a:chExt cx="4706023" cy="2626486"/>
          </a:xfrm>
        </xdr:grpSpPr>
        <xdr:sp macro="" textlink="">
          <xdr:nvSpPr>
            <xdr:cNvPr id="67" name="Rectangle: Rounded Corners 66">
              <a:extLst>
                <a:ext uri="{FF2B5EF4-FFF2-40B4-BE49-F238E27FC236}">
                  <a16:creationId xmlns:a16="http://schemas.microsoft.com/office/drawing/2014/main" id="{E2F4E9C3-87E5-BF92-46B2-39962F910B0D}"/>
                </a:ext>
              </a:extLst>
            </xdr:cNvPr>
            <xdr:cNvSpPr/>
          </xdr:nvSpPr>
          <xdr:spPr>
            <a:xfrm>
              <a:off x="5146637" y="2590800"/>
              <a:ext cx="4706023" cy="2626486"/>
            </a:xfrm>
            <a:prstGeom prst="roundRect">
              <a:avLst>
                <a:gd name="adj" fmla="val 3906"/>
              </a:avLst>
            </a:prstGeom>
            <a:solidFill>
              <a:schemeClr val="bg1"/>
            </a:solidFill>
            <a:ln>
              <a:noFill/>
            </a:ln>
            <a:effectLst>
              <a:outerShdw blurRad="76200" dist="50800" dir="3000000" algn="tl" rotWithShape="0">
                <a:schemeClr val="tx1">
                  <a:lumMod val="65000"/>
                  <a:lumOff val="35000"/>
                  <a:alpha val="60000"/>
                </a:scheme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 sz="1100"/>
            </a:p>
          </xdr:txBody>
        </xdr:sp>
        <xdr:graphicFrame macro="">
          <xdr:nvGraphicFramePr>
            <xdr:cNvPr id="64" name="Chart 63">
              <a:extLst>
                <a:ext uri="{FF2B5EF4-FFF2-40B4-BE49-F238E27FC236}">
                  <a16:creationId xmlns:a16="http://schemas.microsoft.com/office/drawing/2014/main" id="{B587DF3C-6504-4EF6-B468-57B1EEF3882E}"/>
                </a:ext>
              </a:extLst>
            </xdr:cNvPr>
            <xdr:cNvGraphicFramePr>
              <a:graphicFrameLocks/>
            </xdr:cNvGraphicFramePr>
          </xdr:nvGraphicFramePr>
          <xdr:xfrm>
            <a:off x="5214513" y="2590800"/>
            <a:ext cx="4578532" cy="261366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3"/>
            </a:graphicData>
          </a:graphic>
        </xdr:graphicFrame>
      </xdr:grp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D618F4A5-F634-4BCE-BF79-0BE188FD2AD3}"/>
              </a:ext>
            </a:extLst>
          </xdr:cNvPr>
          <xdr:cNvSpPr txBox="1"/>
        </xdr:nvSpPr>
        <xdr:spPr>
          <a:xfrm>
            <a:off x="5301343" y="2671354"/>
            <a:ext cx="1934886" cy="21517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36000" rIns="36000" bIns="36000" rtlCol="0" anchor="ctr" anchorCtr="0">
            <a:noAutofit/>
          </a:bodyPr>
          <a:lstStyle/>
          <a:p>
            <a:pPr algn="l"/>
            <a:r>
              <a:rPr lang="sr-Latn-RS" sz="1000" b="1" i="0" u="none" strike="noStrike">
                <a:solidFill>
                  <a:sysClr val="windowText" lastClr="000000"/>
                </a:solidFill>
                <a:latin typeface="Bahnschrift"/>
              </a:rPr>
              <a:t>CAC &amp; CLTV (Past 12 Months)</a:t>
            </a:r>
            <a:endParaRPr lang="en-US" sz="1000" b="1" i="0" u="none" strike="noStrike">
              <a:solidFill>
                <a:sysClr val="windowText" lastClr="000000"/>
              </a:solidFill>
              <a:latin typeface="Bahnschrift"/>
            </a:endParaRPr>
          </a:p>
        </xdr:txBody>
      </xdr:sp>
    </xdr:grpSp>
    <xdr:clientData/>
  </xdr:twoCellAnchor>
  <xdr:twoCellAnchor>
    <xdr:from>
      <xdr:col>13</xdr:col>
      <xdr:colOff>578506</xdr:colOff>
      <xdr:row>31</xdr:row>
      <xdr:rowOff>57097</xdr:rowOff>
    </xdr:from>
    <xdr:to>
      <xdr:col>14</xdr:col>
      <xdr:colOff>566438</xdr:colOff>
      <xdr:row>37</xdr:row>
      <xdr:rowOff>10194</xdr:rowOff>
    </xdr:to>
    <xdr:sp macro="" textlink="">
      <xdr:nvSpPr>
        <xdr:cNvPr id="89" name="Oval 88">
          <a:extLst>
            <a:ext uri="{FF2B5EF4-FFF2-40B4-BE49-F238E27FC236}">
              <a16:creationId xmlns:a16="http://schemas.microsoft.com/office/drawing/2014/main" id="{11BDD230-3BEE-69E8-9FE5-9814BDAEBB7C}"/>
            </a:ext>
          </a:extLst>
        </xdr:cNvPr>
        <xdr:cNvSpPr/>
      </xdr:nvSpPr>
      <xdr:spPr>
        <a:xfrm>
          <a:off x="8237695" y="5991988"/>
          <a:ext cx="972000" cy="972000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154577</xdr:colOff>
      <xdr:row>27</xdr:row>
      <xdr:rowOff>84908</xdr:rowOff>
    </xdr:from>
    <xdr:to>
      <xdr:col>4</xdr:col>
      <xdr:colOff>260663</xdr:colOff>
      <xdr:row>28</xdr:row>
      <xdr:rowOff>136798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D931F03E-20CE-42D4-A277-98BAE1561D91}"/>
            </a:ext>
          </a:extLst>
        </xdr:cNvPr>
        <xdr:cNvSpPr txBox="1"/>
      </xdr:nvSpPr>
      <xdr:spPr>
        <a:xfrm>
          <a:off x="502920" y="5462451"/>
          <a:ext cx="1934886" cy="215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36000" rIns="36000" bIns="36000" rtlCol="0" anchor="ctr" anchorCtr="0">
          <a:noAutofit/>
        </a:bodyPr>
        <a:lstStyle/>
        <a:p>
          <a:pPr algn="l"/>
          <a:r>
            <a:rPr lang="sr-Latn-RS" sz="1000" b="1" i="0" u="none" strike="noStrike">
              <a:solidFill>
                <a:sysClr val="windowText" lastClr="000000"/>
              </a:solidFill>
              <a:latin typeface="Bahnschrift"/>
            </a:rPr>
            <a:t>MRR</a:t>
          </a:r>
          <a:r>
            <a:rPr lang="sr-Latn-RS" sz="1000" b="1" i="0" u="none" strike="noStrike" baseline="0">
              <a:solidFill>
                <a:sysClr val="windowText" lastClr="000000"/>
              </a:solidFill>
              <a:latin typeface="Bahnschrift"/>
            </a:rPr>
            <a:t> Growth</a:t>
          </a:r>
          <a:r>
            <a:rPr lang="sr-Latn-RS" sz="1000" b="1" i="0" u="none" strike="noStrike">
              <a:solidFill>
                <a:sysClr val="windowText" lastClr="000000"/>
              </a:solidFill>
              <a:latin typeface="Bahnschrift"/>
            </a:rPr>
            <a:t> (Past 12 Months)</a:t>
          </a:r>
          <a:endParaRPr lang="en-US" sz="1000" b="1" i="0" u="none" strike="noStrike">
            <a:solidFill>
              <a:sysClr val="windowText" lastClr="000000"/>
            </a:solidFill>
            <a:latin typeface="Bahnschrift"/>
          </a:endParaRPr>
        </a:p>
      </xdr:txBody>
    </xdr:sp>
    <xdr:clientData/>
  </xdr:twoCellAnchor>
  <xdr:twoCellAnchor>
    <xdr:from>
      <xdr:col>13</xdr:col>
      <xdr:colOff>684802</xdr:colOff>
      <xdr:row>31</xdr:row>
      <xdr:rowOff>154768</xdr:rowOff>
    </xdr:from>
    <xdr:to>
      <xdr:col>14</xdr:col>
      <xdr:colOff>460142</xdr:colOff>
      <xdr:row>36</xdr:row>
      <xdr:rowOff>82507</xdr:rowOff>
    </xdr:to>
    <xdr:sp macro="" textlink="'Helper Sheet'!$Q$5:$R$5">
      <xdr:nvSpPr>
        <xdr:cNvPr id="80" name="Oval 79">
          <a:extLst>
            <a:ext uri="{FF2B5EF4-FFF2-40B4-BE49-F238E27FC236}">
              <a16:creationId xmlns:a16="http://schemas.microsoft.com/office/drawing/2014/main" id="{64920923-DFE2-B1DF-745A-F4BB895C2293}"/>
            </a:ext>
          </a:extLst>
        </xdr:cNvPr>
        <xdr:cNvSpPr/>
      </xdr:nvSpPr>
      <xdr:spPr>
        <a:xfrm>
          <a:off x="8345833" y="6080783"/>
          <a:ext cx="760078" cy="777662"/>
        </a:xfrm>
        <a:prstGeom prst="ellipse">
          <a:avLst/>
        </a:prstGeom>
        <a:solidFill>
          <a:srgbClr val="F91F79"/>
        </a:solidFill>
        <a:ln>
          <a:noFill/>
        </a:ln>
        <a:effectLst>
          <a:outerShdw blurRad="101600" dist="1143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ctr"/>
        <a:lstStyle/>
        <a:p>
          <a:pPr algn="ctr"/>
          <a:fld id="{4284334D-9D2C-4F74-B328-8A1A3548FAA0}" type="TxLink">
            <a:rPr lang="en-US" sz="2000" b="1" i="0" u="none" strike="noStrike">
              <a:solidFill>
                <a:schemeClr val="bg1"/>
              </a:solidFill>
              <a:latin typeface="Bahnschrift"/>
            </a:rPr>
            <a:pPr algn="ctr"/>
            <a:t>30%</a:t>
          </a:fld>
          <a:endParaRPr lang="en-US" sz="166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223120</xdr:colOff>
      <xdr:row>27</xdr:row>
      <xdr:rowOff>49108</xdr:rowOff>
    </xdr:from>
    <xdr:to>
      <xdr:col>14</xdr:col>
      <xdr:colOff>921824</xdr:colOff>
      <xdr:row>28</xdr:row>
      <xdr:rowOff>100392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0D0F4D7-D319-0FC4-1846-D2E72256281F}"/>
            </a:ext>
          </a:extLst>
        </xdr:cNvPr>
        <xdr:cNvSpPr txBox="1"/>
      </xdr:nvSpPr>
      <xdr:spPr>
        <a:xfrm>
          <a:off x="7884151" y="5295185"/>
          <a:ext cx="1683442" cy="221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900" b="1">
              <a:solidFill>
                <a:schemeClr val="bg1"/>
              </a:solidFill>
              <a:latin typeface="Bahnschrift" panose="020B0502040204020203" pitchFamily="34" charset="0"/>
            </a:rPr>
            <a:t>MRR Growth</a:t>
          </a:r>
        </a:p>
      </xdr:txBody>
    </xdr:sp>
    <xdr:clientData/>
  </xdr:twoCellAnchor>
  <xdr:twoCellAnchor>
    <xdr:from>
      <xdr:col>13</xdr:col>
      <xdr:colOff>15152</xdr:colOff>
      <xdr:row>28</xdr:row>
      <xdr:rowOff>110099</xdr:rowOff>
    </xdr:from>
    <xdr:to>
      <xdr:col>13</xdr:col>
      <xdr:colOff>648537</xdr:colOff>
      <xdr:row>30</xdr:row>
      <xdr:rowOff>21598</xdr:rowOff>
    </xdr:to>
    <xdr:grpSp>
      <xdr:nvGrpSpPr>
        <xdr:cNvPr id="85" name="Group 84">
          <a:extLst>
            <a:ext uri="{FF2B5EF4-FFF2-40B4-BE49-F238E27FC236}">
              <a16:creationId xmlns:a16="http://schemas.microsoft.com/office/drawing/2014/main" id="{479DEDC7-7B28-548C-F293-2E81A2980926}"/>
            </a:ext>
          </a:extLst>
        </xdr:cNvPr>
        <xdr:cNvGrpSpPr/>
      </xdr:nvGrpSpPr>
      <xdr:grpSpPr>
        <a:xfrm>
          <a:off x="7673252" y="5482199"/>
          <a:ext cx="633385" cy="246779"/>
          <a:chOff x="7676183" y="5490989"/>
          <a:chExt cx="633385" cy="251468"/>
        </a:xfrm>
      </xdr:grpSpPr>
      <xdr:sp macro="" textlink="'Helper Sheet'!$Q$3">
        <xdr:nvSpPr>
          <xdr:cNvPr id="83" name="TextBox 82">
            <a:extLst>
              <a:ext uri="{FF2B5EF4-FFF2-40B4-BE49-F238E27FC236}">
                <a16:creationId xmlns:a16="http://schemas.microsoft.com/office/drawing/2014/main" id="{4DF0A210-71C9-4754-B2D1-98D923337B95}"/>
              </a:ext>
            </a:extLst>
          </xdr:cNvPr>
          <xdr:cNvSpPr txBox="1"/>
        </xdr:nvSpPr>
        <xdr:spPr>
          <a:xfrm>
            <a:off x="7676183" y="5490989"/>
            <a:ext cx="633385" cy="1055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fld id="{D6CCBD87-88B8-4BA4-A13F-2F8482E87477}" type="TxLink">
              <a:rPr lang="en-US" sz="600" b="0" i="0" u="none" strike="noStrike">
                <a:solidFill>
                  <a:schemeClr val="bg1"/>
                </a:solidFill>
                <a:latin typeface="Bahnschrift"/>
              </a:rPr>
              <a:pPr algn="ctr"/>
              <a:t>September 2024</a:t>
            </a:fld>
            <a:endParaRPr lang="en-US" sz="5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sp macro="" textlink="'Helper Sheet'!$R$3">
        <xdr:nvSpPr>
          <xdr:cNvPr id="84" name="TextBox 83">
            <a:extLst>
              <a:ext uri="{FF2B5EF4-FFF2-40B4-BE49-F238E27FC236}">
                <a16:creationId xmlns:a16="http://schemas.microsoft.com/office/drawing/2014/main" id="{A9638B0F-60DF-4823-8603-85E909839158}"/>
              </a:ext>
            </a:extLst>
          </xdr:cNvPr>
          <xdr:cNvSpPr txBox="1"/>
        </xdr:nvSpPr>
        <xdr:spPr>
          <a:xfrm>
            <a:off x="7676183" y="5596379"/>
            <a:ext cx="633385" cy="14607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fld id="{20167C48-E95F-44BB-BBA6-9BC6075F993F}" type="TxLink">
              <a:rPr lang="en-US" sz="900" b="1" i="0" u="none" strike="noStrike">
                <a:solidFill>
                  <a:schemeClr val="bg1"/>
                </a:solidFill>
                <a:latin typeface="Bahnschrift"/>
              </a:rPr>
              <a:pPr algn="ctr"/>
              <a:t>$331,000</a:t>
            </a:fld>
            <a:endParaRPr lang="en-US" sz="4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14</xdr:col>
      <xdr:colOff>489937</xdr:colOff>
      <xdr:row>28</xdr:row>
      <xdr:rowOff>110099</xdr:rowOff>
    </xdr:from>
    <xdr:to>
      <xdr:col>14</xdr:col>
      <xdr:colOff>1123322</xdr:colOff>
      <xdr:row>30</xdr:row>
      <xdr:rowOff>21598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3164703C-7777-42E3-8888-358F4ED5EB8B}"/>
            </a:ext>
          </a:extLst>
        </xdr:cNvPr>
        <xdr:cNvGrpSpPr/>
      </xdr:nvGrpSpPr>
      <xdr:grpSpPr>
        <a:xfrm>
          <a:off x="9131017" y="5482199"/>
          <a:ext cx="633385" cy="246779"/>
          <a:chOff x="7676183" y="5490989"/>
          <a:chExt cx="633385" cy="251468"/>
        </a:xfrm>
      </xdr:grpSpPr>
      <xdr:sp macro="" textlink="'Helper Sheet'!$Q$4">
        <xdr:nvSpPr>
          <xdr:cNvPr id="87" name="TextBox 86">
            <a:extLst>
              <a:ext uri="{FF2B5EF4-FFF2-40B4-BE49-F238E27FC236}">
                <a16:creationId xmlns:a16="http://schemas.microsoft.com/office/drawing/2014/main" id="{D606799D-850B-AC61-7EBB-9D219569A2E5}"/>
              </a:ext>
            </a:extLst>
          </xdr:cNvPr>
          <xdr:cNvSpPr txBox="1"/>
        </xdr:nvSpPr>
        <xdr:spPr>
          <a:xfrm>
            <a:off x="7676183" y="5490989"/>
            <a:ext cx="633385" cy="1055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fld id="{5621082F-E603-40C4-A5E8-5DE5A6BBA067}" type="TxLink">
              <a:rPr lang="en-US" sz="600" b="0" i="0" u="none" strike="noStrike">
                <a:solidFill>
                  <a:schemeClr val="bg1"/>
                </a:solidFill>
                <a:latin typeface="Bahnschrift"/>
              </a:rPr>
              <a:pPr algn="ctr"/>
              <a:t>September 2023</a:t>
            </a:fld>
            <a:endParaRPr lang="en-US" sz="1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sp macro="" textlink="'Helper Sheet'!$R$4">
        <xdr:nvSpPr>
          <xdr:cNvPr id="88" name="TextBox 87">
            <a:extLst>
              <a:ext uri="{FF2B5EF4-FFF2-40B4-BE49-F238E27FC236}">
                <a16:creationId xmlns:a16="http://schemas.microsoft.com/office/drawing/2014/main" id="{EFDC0E5C-2693-8206-2AC2-34372DD68A77}"/>
              </a:ext>
            </a:extLst>
          </xdr:cNvPr>
          <xdr:cNvSpPr txBox="1"/>
        </xdr:nvSpPr>
        <xdr:spPr>
          <a:xfrm>
            <a:off x="7676183" y="5596379"/>
            <a:ext cx="633385" cy="14607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fld id="{35AC2E33-80C8-4D73-98DF-48B88E4AEA74}" type="TxLink">
              <a:rPr lang="en-US" sz="900" b="1" i="0" u="none" strike="noStrike">
                <a:solidFill>
                  <a:schemeClr val="bg1"/>
                </a:solidFill>
                <a:latin typeface="Bahnschrift"/>
              </a:rPr>
              <a:pPr algn="ctr"/>
              <a:t>$254,000</a:t>
            </a:fld>
            <a:endParaRPr lang="en-US" sz="3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PWORK%202024\Alexey%20Nikolayev%20-%20Dashboards\CEO\CEO%20Dashboard%20Template%20-%20TemplateLab.c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Dashboard"/>
      <sheetName val="©"/>
    </sheetNames>
    <sheetDataSet>
      <sheetData sheetId="0">
        <row r="65">
          <cell r="K65" t="str">
            <v>INCREASE</v>
          </cell>
        </row>
        <row r="83">
          <cell r="K83" t="str">
            <v>DECREASE</v>
          </cell>
        </row>
        <row r="115">
          <cell r="C115" t="str">
            <v>Emp_6</v>
          </cell>
        </row>
      </sheetData>
      <sheetData sheetId="1" refreshError="1"/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id="2" name="Source" displayName="Source" ref="B4:N28" totalsRowShown="0" headerRowDxfId="17" dataDxfId="15" headerRowBorderDxfId="16" tableBorderDxfId="14" totalsRowBorderDxfId="13">
  <tableColumns count="13">
    <tableColumn id="1" name="Month" dataDxfId="12"/>
    <tableColumn id="2" name="Year" dataDxfId="11"/>
    <tableColumn id="3" name="Active Accounts" dataDxfId="10">
      <calculatedColumnFormula>D4-F5+E5</calculatedColumnFormula>
    </tableColumn>
    <tableColumn id="4" name="New Accounts" dataDxfId="9"/>
    <tableColumn id="5" name="Cancelled Accounts" dataDxfId="8"/>
    <tableColumn id="6" name="MRR ($)" dataDxfId="7"/>
    <tableColumn id="7" name="ARPA ($)" dataDxfId="6">
      <calculatedColumnFormula>G5/D5</calculatedColumnFormula>
    </tableColumn>
    <tableColumn id="8" name="User Retention Rate (%)" dataDxfId="5">
      <calculatedColumnFormula>(D5-E5)/(D5-E5+F5)</calculatedColumnFormula>
    </tableColumn>
    <tableColumn id="9" name="Churn Rate (%)" dataDxfId="4">
      <calculatedColumnFormula>1-I5</calculatedColumnFormula>
    </tableColumn>
    <tableColumn id="10" name="Average Customer Lifetime (Months)" dataDxfId="3"/>
    <tableColumn id="11" name="CLTV ($)" dataDxfId="2">
      <calculatedColumnFormula>K5*H5</calculatedColumnFormula>
    </tableColumn>
    <tableColumn id="12" name="CAC ($)" dataDxfId="1"/>
    <tableColumn id="13" name="NPS (%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zoomScale="85" zoomScaleNormal="85" workbookViewId="0">
      <selection activeCell="C36" sqref="C36"/>
    </sheetView>
  </sheetViews>
  <sheetFormatPr defaultRowHeight="13.2" x14ac:dyDescent="0.3"/>
  <cols>
    <col min="1" max="1" width="8.88671875" style="1"/>
    <col min="2" max="2" width="14.77734375" style="1" customWidth="1"/>
    <col min="3" max="3" width="12" style="1" customWidth="1"/>
    <col min="4" max="4" width="16.33203125" style="1" customWidth="1"/>
    <col min="5" max="5" width="14.88671875" style="1" customWidth="1"/>
    <col min="6" max="6" width="19.33203125" style="1" customWidth="1"/>
    <col min="7" max="8" width="13.33203125" style="1" customWidth="1"/>
    <col min="9" max="9" width="23.109375" style="1" customWidth="1"/>
    <col min="10" max="10" width="15.5546875" style="1" customWidth="1"/>
    <col min="11" max="11" width="34.21875" style="1" customWidth="1"/>
    <col min="12" max="12" width="10.5546875" style="1" bestFit="1" customWidth="1"/>
    <col min="13" max="13" width="9.5546875" style="1" customWidth="1"/>
    <col min="14" max="14" width="9.77734375" style="1" customWidth="1"/>
    <col min="15" max="16384" width="8.88671875" style="1"/>
  </cols>
  <sheetData>
    <row r="1" spans="1:16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52.8" x14ac:dyDescent="0.3">
      <c r="A4" s="4"/>
      <c r="B4" s="26" t="s">
        <v>12</v>
      </c>
      <c r="C4" s="27" t="s">
        <v>23</v>
      </c>
      <c r="D4" s="27" t="s">
        <v>13</v>
      </c>
      <c r="E4" s="27" t="s">
        <v>14</v>
      </c>
      <c r="F4" s="27" t="s">
        <v>15</v>
      </c>
      <c r="G4" s="27" t="s">
        <v>17</v>
      </c>
      <c r="H4" s="27" t="s">
        <v>16</v>
      </c>
      <c r="I4" s="27" t="s">
        <v>22</v>
      </c>
      <c r="J4" s="27" t="s">
        <v>18</v>
      </c>
      <c r="K4" s="27" t="s">
        <v>24</v>
      </c>
      <c r="L4" s="27" t="s">
        <v>19</v>
      </c>
      <c r="M4" s="27" t="s">
        <v>20</v>
      </c>
      <c r="N4" s="28" t="s">
        <v>21</v>
      </c>
      <c r="O4" s="4"/>
      <c r="P4" s="4"/>
    </row>
    <row r="5" spans="1:16" x14ac:dyDescent="0.3">
      <c r="A5" s="4"/>
      <c r="B5" s="23" t="s">
        <v>0</v>
      </c>
      <c r="C5" s="13">
        <v>2023</v>
      </c>
      <c r="D5" s="14">
        <v>1040</v>
      </c>
      <c r="E5" s="13">
        <v>20</v>
      </c>
      <c r="F5" s="13">
        <v>15</v>
      </c>
      <c r="G5" s="15">
        <v>205000</v>
      </c>
      <c r="H5" s="16">
        <f>G5/D5</f>
        <v>197.11538461538461</v>
      </c>
      <c r="I5" s="17">
        <f>(D5-E5)/(D5-E5+F5)</f>
        <v>0.98550724637681164</v>
      </c>
      <c r="J5" s="17">
        <f>1-I5</f>
        <v>1.4492753623188359E-2</v>
      </c>
      <c r="K5" s="18">
        <v>11</v>
      </c>
      <c r="L5" s="15">
        <f>K5*H5</f>
        <v>2168.2692307692309</v>
      </c>
      <c r="M5" s="16">
        <v>21</v>
      </c>
      <c r="N5" s="24">
        <v>0.94</v>
      </c>
      <c r="O5" s="4"/>
      <c r="P5" s="4"/>
    </row>
    <row r="6" spans="1:16" x14ac:dyDescent="0.3">
      <c r="A6" s="4"/>
      <c r="B6" s="23" t="s">
        <v>1</v>
      </c>
      <c r="C6" s="13">
        <v>2023</v>
      </c>
      <c r="D6" s="14">
        <f>D5-F6+E6</f>
        <v>1050</v>
      </c>
      <c r="E6" s="13">
        <v>30</v>
      </c>
      <c r="F6" s="13">
        <v>20</v>
      </c>
      <c r="G6" s="15">
        <v>214000</v>
      </c>
      <c r="H6" s="16">
        <f t="shared" ref="H6:H28" si="0">G6/D6</f>
        <v>203.8095238095238</v>
      </c>
      <c r="I6" s="17">
        <f t="shared" ref="I6:I28" si="1">(D6-E6)/(D6-E6+F6)</f>
        <v>0.98076923076923073</v>
      </c>
      <c r="J6" s="17">
        <f t="shared" ref="J6:J28" si="2">1-I6</f>
        <v>1.9230769230769273E-2</v>
      </c>
      <c r="K6" s="18">
        <v>11.1</v>
      </c>
      <c r="L6" s="15">
        <f t="shared" ref="L6:L28" si="3">K6*H6</f>
        <v>2262.2857142857142</v>
      </c>
      <c r="M6" s="16">
        <v>22</v>
      </c>
      <c r="N6" s="24">
        <v>0.95</v>
      </c>
      <c r="O6" s="4"/>
      <c r="P6" s="4"/>
    </row>
    <row r="7" spans="1:16" x14ac:dyDescent="0.3">
      <c r="A7" s="4"/>
      <c r="B7" s="23" t="s">
        <v>2</v>
      </c>
      <c r="C7" s="13">
        <v>2023</v>
      </c>
      <c r="D7" s="14">
        <f t="shared" ref="D7:D28" si="4">D6-F7+E7</f>
        <v>1060</v>
      </c>
      <c r="E7" s="13">
        <v>35</v>
      </c>
      <c r="F7" s="13">
        <v>25</v>
      </c>
      <c r="G7" s="15">
        <v>218000</v>
      </c>
      <c r="H7" s="16">
        <f t="shared" si="0"/>
        <v>205.66037735849056</v>
      </c>
      <c r="I7" s="17">
        <f t="shared" si="1"/>
        <v>0.97619047619047616</v>
      </c>
      <c r="J7" s="17">
        <f t="shared" si="2"/>
        <v>2.3809523809523836E-2</v>
      </c>
      <c r="K7" s="18">
        <v>11.1</v>
      </c>
      <c r="L7" s="15">
        <f t="shared" si="3"/>
        <v>2282.8301886792451</v>
      </c>
      <c r="M7" s="16">
        <v>23.5</v>
      </c>
      <c r="N7" s="24">
        <v>0.94</v>
      </c>
      <c r="O7" s="4"/>
      <c r="P7" s="4"/>
    </row>
    <row r="8" spans="1:16" x14ac:dyDescent="0.3">
      <c r="A8" s="4"/>
      <c r="B8" s="23" t="s">
        <v>3</v>
      </c>
      <c r="C8" s="13">
        <v>2023</v>
      </c>
      <c r="D8" s="14">
        <f t="shared" si="4"/>
        <v>1070</v>
      </c>
      <c r="E8" s="13">
        <v>40</v>
      </c>
      <c r="F8" s="13">
        <v>30</v>
      </c>
      <c r="G8" s="15">
        <v>223000</v>
      </c>
      <c r="H8" s="16">
        <f t="shared" si="0"/>
        <v>208.41121495327104</v>
      </c>
      <c r="I8" s="17">
        <f t="shared" si="1"/>
        <v>0.97169811320754718</v>
      </c>
      <c r="J8" s="17">
        <f t="shared" si="2"/>
        <v>2.8301886792452824E-2</v>
      </c>
      <c r="K8" s="18">
        <v>11.2</v>
      </c>
      <c r="L8" s="15">
        <f t="shared" si="3"/>
        <v>2334.2056074766356</v>
      </c>
      <c r="M8" s="16">
        <v>22.3</v>
      </c>
      <c r="N8" s="24">
        <v>0.93</v>
      </c>
      <c r="O8" s="4"/>
      <c r="P8" s="4"/>
    </row>
    <row r="9" spans="1:16" x14ac:dyDescent="0.3">
      <c r="A9" s="4"/>
      <c r="B9" s="23" t="s">
        <v>4</v>
      </c>
      <c r="C9" s="13">
        <v>2023</v>
      </c>
      <c r="D9" s="14">
        <f t="shared" si="4"/>
        <v>1080</v>
      </c>
      <c r="E9" s="13">
        <v>45</v>
      </c>
      <c r="F9" s="13">
        <v>35</v>
      </c>
      <c r="G9" s="15">
        <v>233000</v>
      </c>
      <c r="H9" s="16">
        <f t="shared" si="0"/>
        <v>215.74074074074073</v>
      </c>
      <c r="I9" s="17">
        <f t="shared" si="1"/>
        <v>0.96728971962616828</v>
      </c>
      <c r="J9" s="17">
        <f t="shared" si="2"/>
        <v>3.2710280373831724E-2</v>
      </c>
      <c r="K9" s="18">
        <v>11.3</v>
      </c>
      <c r="L9" s="15">
        <f t="shared" si="3"/>
        <v>2437.8703703703704</v>
      </c>
      <c r="M9" s="16">
        <v>21.8</v>
      </c>
      <c r="N9" s="24">
        <v>0.94</v>
      </c>
      <c r="O9" s="4"/>
      <c r="P9" s="4"/>
    </row>
    <row r="10" spans="1:16" x14ac:dyDescent="0.3">
      <c r="A10" s="4"/>
      <c r="B10" s="23" t="s">
        <v>5</v>
      </c>
      <c r="C10" s="13">
        <v>2023</v>
      </c>
      <c r="D10" s="14">
        <f t="shared" si="4"/>
        <v>1090</v>
      </c>
      <c r="E10" s="13">
        <v>50</v>
      </c>
      <c r="F10" s="13">
        <v>40</v>
      </c>
      <c r="G10" s="15">
        <v>237000</v>
      </c>
      <c r="H10" s="16">
        <f t="shared" si="0"/>
        <v>217.43119266055047</v>
      </c>
      <c r="I10" s="17">
        <f t="shared" si="1"/>
        <v>0.96296296296296291</v>
      </c>
      <c r="J10" s="17">
        <f t="shared" si="2"/>
        <v>3.703703703703709E-2</v>
      </c>
      <c r="K10" s="18">
        <v>11.3</v>
      </c>
      <c r="L10" s="15">
        <f t="shared" si="3"/>
        <v>2456.9724770642206</v>
      </c>
      <c r="M10" s="16">
        <v>21.5</v>
      </c>
      <c r="N10" s="24">
        <v>0.95</v>
      </c>
      <c r="O10" s="4"/>
      <c r="P10" s="4"/>
    </row>
    <row r="11" spans="1:16" x14ac:dyDescent="0.3">
      <c r="A11" s="4"/>
      <c r="B11" s="23" t="s">
        <v>6</v>
      </c>
      <c r="C11" s="13">
        <v>2023</v>
      </c>
      <c r="D11" s="14">
        <f t="shared" si="4"/>
        <v>1100</v>
      </c>
      <c r="E11" s="13">
        <v>55</v>
      </c>
      <c r="F11" s="13">
        <v>45</v>
      </c>
      <c r="G11" s="15">
        <v>245000</v>
      </c>
      <c r="H11" s="16">
        <f t="shared" si="0"/>
        <v>222.72727272727272</v>
      </c>
      <c r="I11" s="17">
        <f t="shared" si="1"/>
        <v>0.95871559633027525</v>
      </c>
      <c r="J11" s="17">
        <f t="shared" si="2"/>
        <v>4.1284403669724745E-2</v>
      </c>
      <c r="K11" s="18">
        <v>11.4</v>
      </c>
      <c r="L11" s="15">
        <f t="shared" si="3"/>
        <v>2539.090909090909</v>
      </c>
      <c r="M11" s="16">
        <v>20.7</v>
      </c>
      <c r="N11" s="24">
        <v>0.96</v>
      </c>
      <c r="O11" s="4"/>
      <c r="P11" s="4"/>
    </row>
    <row r="12" spans="1:16" x14ac:dyDescent="0.3">
      <c r="A12" s="4"/>
      <c r="B12" s="23" t="s">
        <v>7</v>
      </c>
      <c r="C12" s="13">
        <v>2023</v>
      </c>
      <c r="D12" s="14">
        <f t="shared" si="4"/>
        <v>1110</v>
      </c>
      <c r="E12" s="13">
        <v>60</v>
      </c>
      <c r="F12" s="13">
        <v>50</v>
      </c>
      <c r="G12" s="15">
        <v>248000</v>
      </c>
      <c r="H12" s="16">
        <f t="shared" si="0"/>
        <v>223.42342342342343</v>
      </c>
      <c r="I12" s="17">
        <f t="shared" si="1"/>
        <v>0.95454545454545459</v>
      </c>
      <c r="J12" s="17">
        <f t="shared" si="2"/>
        <v>4.5454545454545414E-2</v>
      </c>
      <c r="K12" s="18">
        <v>11.4</v>
      </c>
      <c r="L12" s="15">
        <f t="shared" si="3"/>
        <v>2547.0270270270271</v>
      </c>
      <c r="M12" s="16">
        <v>20.5</v>
      </c>
      <c r="N12" s="24">
        <v>0.95</v>
      </c>
      <c r="O12" s="4"/>
      <c r="P12" s="4"/>
    </row>
    <row r="13" spans="1:16" x14ac:dyDescent="0.3">
      <c r="A13" s="4"/>
      <c r="B13" s="23" t="s">
        <v>8</v>
      </c>
      <c r="C13" s="13">
        <v>2023</v>
      </c>
      <c r="D13" s="14">
        <f t="shared" si="4"/>
        <v>1120</v>
      </c>
      <c r="E13" s="13">
        <v>65</v>
      </c>
      <c r="F13" s="13">
        <v>55</v>
      </c>
      <c r="G13" s="15">
        <v>254000</v>
      </c>
      <c r="H13" s="16">
        <f t="shared" si="0"/>
        <v>226.78571428571428</v>
      </c>
      <c r="I13" s="17">
        <f t="shared" si="1"/>
        <v>0.9504504504504504</v>
      </c>
      <c r="J13" s="17">
        <f t="shared" si="2"/>
        <v>4.9549549549549599E-2</v>
      </c>
      <c r="K13" s="18">
        <v>11.4</v>
      </c>
      <c r="L13" s="15">
        <f t="shared" si="3"/>
        <v>2585.3571428571427</v>
      </c>
      <c r="M13" s="16">
        <v>20.6</v>
      </c>
      <c r="N13" s="24">
        <v>0.96</v>
      </c>
      <c r="O13" s="4"/>
      <c r="P13" s="4"/>
    </row>
    <row r="14" spans="1:16" x14ac:dyDescent="0.3">
      <c r="A14" s="4"/>
      <c r="B14" s="23" t="s">
        <v>9</v>
      </c>
      <c r="C14" s="13">
        <v>2023</v>
      </c>
      <c r="D14" s="14">
        <f t="shared" si="4"/>
        <v>1130</v>
      </c>
      <c r="E14" s="13">
        <v>70</v>
      </c>
      <c r="F14" s="13">
        <v>60</v>
      </c>
      <c r="G14" s="15">
        <v>259000</v>
      </c>
      <c r="H14" s="16">
        <f t="shared" si="0"/>
        <v>229.20353982300884</v>
      </c>
      <c r="I14" s="17">
        <f t="shared" si="1"/>
        <v>0.9464285714285714</v>
      </c>
      <c r="J14" s="17">
        <f t="shared" si="2"/>
        <v>5.3571428571428603E-2</v>
      </c>
      <c r="K14" s="18">
        <v>11.4</v>
      </c>
      <c r="L14" s="15">
        <f t="shared" si="3"/>
        <v>2612.9203539823006</v>
      </c>
      <c r="M14" s="16">
        <v>20.3</v>
      </c>
      <c r="N14" s="24">
        <v>0.97</v>
      </c>
      <c r="O14" s="4"/>
      <c r="P14" s="4"/>
    </row>
    <row r="15" spans="1:16" x14ac:dyDescent="0.3">
      <c r="A15" s="4"/>
      <c r="B15" s="23" t="s">
        <v>10</v>
      </c>
      <c r="C15" s="13">
        <v>2023</v>
      </c>
      <c r="D15" s="14">
        <f t="shared" si="4"/>
        <v>1143</v>
      </c>
      <c r="E15" s="14">
        <v>75</v>
      </c>
      <c r="F15" s="13">
        <v>62</v>
      </c>
      <c r="G15" s="15">
        <v>263000</v>
      </c>
      <c r="H15" s="16">
        <f t="shared" si="0"/>
        <v>230.09623797025372</v>
      </c>
      <c r="I15" s="17">
        <f t="shared" si="1"/>
        <v>0.94513274336283182</v>
      </c>
      <c r="J15" s="17">
        <f t="shared" si="2"/>
        <v>5.4867256637168182E-2</v>
      </c>
      <c r="K15" s="18">
        <v>11.5</v>
      </c>
      <c r="L15" s="15">
        <f t="shared" si="3"/>
        <v>2646.1067366579177</v>
      </c>
      <c r="M15" s="16">
        <v>19.8</v>
      </c>
      <c r="N15" s="24">
        <v>0.98</v>
      </c>
      <c r="O15" s="4"/>
      <c r="P15" s="4"/>
    </row>
    <row r="16" spans="1:16" x14ac:dyDescent="0.3">
      <c r="A16" s="4"/>
      <c r="B16" s="23" t="s">
        <v>11</v>
      </c>
      <c r="C16" s="13">
        <v>2023</v>
      </c>
      <c r="D16" s="14">
        <f t="shared" si="4"/>
        <v>1168</v>
      </c>
      <c r="E16" s="14">
        <v>80</v>
      </c>
      <c r="F16" s="13">
        <v>55</v>
      </c>
      <c r="G16" s="15">
        <v>270000</v>
      </c>
      <c r="H16" s="16">
        <f t="shared" si="0"/>
        <v>231.16438356164383</v>
      </c>
      <c r="I16" s="17">
        <f t="shared" si="1"/>
        <v>0.95188101487314081</v>
      </c>
      <c r="J16" s="17">
        <f t="shared" si="2"/>
        <v>4.8118985126859193E-2</v>
      </c>
      <c r="K16" s="18">
        <v>11.5</v>
      </c>
      <c r="L16" s="15">
        <f t="shared" si="3"/>
        <v>2658.3904109589039</v>
      </c>
      <c r="M16" s="16">
        <v>19.7</v>
      </c>
      <c r="N16" s="24">
        <v>0.96</v>
      </c>
      <c r="O16" s="4"/>
      <c r="P16" s="4"/>
    </row>
    <row r="17" spans="1:16" x14ac:dyDescent="0.3">
      <c r="A17" s="4"/>
      <c r="B17" s="23" t="s">
        <v>0</v>
      </c>
      <c r="C17" s="13">
        <v>2024</v>
      </c>
      <c r="D17" s="14">
        <f t="shared" si="4"/>
        <v>1201</v>
      </c>
      <c r="E17" s="20">
        <v>85</v>
      </c>
      <c r="F17" s="20">
        <v>52</v>
      </c>
      <c r="G17" s="21">
        <v>282000</v>
      </c>
      <c r="H17" s="16">
        <f t="shared" si="0"/>
        <v>234.80432972522897</v>
      </c>
      <c r="I17" s="17">
        <f t="shared" si="1"/>
        <v>0.95547945205479456</v>
      </c>
      <c r="J17" s="17">
        <f t="shared" si="2"/>
        <v>4.4520547945205435E-2</v>
      </c>
      <c r="K17" s="18">
        <v>11.5</v>
      </c>
      <c r="L17" s="15">
        <f t="shared" si="3"/>
        <v>2700.2497918401332</v>
      </c>
      <c r="M17" s="16">
        <v>19.7</v>
      </c>
      <c r="N17" s="25">
        <v>0.97</v>
      </c>
      <c r="O17" s="4"/>
      <c r="P17" s="4"/>
    </row>
    <row r="18" spans="1:16" x14ac:dyDescent="0.3">
      <c r="A18" s="4"/>
      <c r="B18" s="23" t="s">
        <v>1</v>
      </c>
      <c r="C18" s="13">
        <v>2024</v>
      </c>
      <c r="D18" s="14">
        <f t="shared" si="4"/>
        <v>1228</v>
      </c>
      <c r="E18" s="20">
        <v>75</v>
      </c>
      <c r="F18" s="20">
        <v>48</v>
      </c>
      <c r="G18" s="21">
        <v>285000</v>
      </c>
      <c r="H18" s="16">
        <f t="shared" si="0"/>
        <v>232.08469055374593</v>
      </c>
      <c r="I18" s="17">
        <f t="shared" si="1"/>
        <v>0.96003330557868438</v>
      </c>
      <c r="J18" s="17">
        <f t="shared" si="2"/>
        <v>3.9966694421315618E-2</v>
      </c>
      <c r="K18" s="18">
        <v>11.5</v>
      </c>
      <c r="L18" s="15">
        <f t="shared" si="3"/>
        <v>2668.9739413680782</v>
      </c>
      <c r="M18" s="16">
        <v>19.600000000000001</v>
      </c>
      <c r="N18" s="25">
        <v>0.95</v>
      </c>
      <c r="O18" s="4"/>
      <c r="P18" s="4"/>
    </row>
    <row r="19" spans="1:16" x14ac:dyDescent="0.3">
      <c r="A19" s="4"/>
      <c r="B19" s="23" t="s">
        <v>2</v>
      </c>
      <c r="C19" s="13">
        <v>2024</v>
      </c>
      <c r="D19" s="14">
        <f t="shared" si="4"/>
        <v>1253</v>
      </c>
      <c r="E19" s="20">
        <v>65</v>
      </c>
      <c r="F19" s="20">
        <v>40</v>
      </c>
      <c r="G19" s="21">
        <v>293000</v>
      </c>
      <c r="H19" s="16">
        <f t="shared" si="0"/>
        <v>233.8387869114126</v>
      </c>
      <c r="I19" s="17">
        <f t="shared" si="1"/>
        <v>0.96742671009771986</v>
      </c>
      <c r="J19" s="17">
        <f t="shared" si="2"/>
        <v>3.2573289902280145E-2</v>
      </c>
      <c r="K19" s="18">
        <v>11.5</v>
      </c>
      <c r="L19" s="15">
        <f t="shared" si="3"/>
        <v>2689.146049481245</v>
      </c>
      <c r="M19" s="16">
        <v>19.5</v>
      </c>
      <c r="N19" s="25">
        <v>0.94</v>
      </c>
      <c r="O19" s="4"/>
      <c r="P19" s="4"/>
    </row>
    <row r="20" spans="1:16" x14ac:dyDescent="0.3">
      <c r="A20" s="4"/>
      <c r="B20" s="23" t="s">
        <v>3</v>
      </c>
      <c r="C20" s="13">
        <v>2024</v>
      </c>
      <c r="D20" s="14">
        <f t="shared" si="4"/>
        <v>1268</v>
      </c>
      <c r="E20" s="20">
        <v>75</v>
      </c>
      <c r="F20" s="20">
        <v>60</v>
      </c>
      <c r="G20" s="21">
        <v>298000</v>
      </c>
      <c r="H20" s="16">
        <f t="shared" si="0"/>
        <v>235.01577287066246</v>
      </c>
      <c r="I20" s="17">
        <f t="shared" si="1"/>
        <v>0.95211492418196331</v>
      </c>
      <c r="J20" s="17">
        <f t="shared" si="2"/>
        <v>4.7885075818036693E-2</v>
      </c>
      <c r="K20" s="18">
        <v>11.5</v>
      </c>
      <c r="L20" s="15">
        <f t="shared" si="3"/>
        <v>2702.6813880126183</v>
      </c>
      <c r="M20" s="16">
        <v>19.5</v>
      </c>
      <c r="N20" s="25">
        <v>0.95</v>
      </c>
      <c r="O20" s="4"/>
      <c r="P20" s="4"/>
    </row>
    <row r="21" spans="1:16" x14ac:dyDescent="0.3">
      <c r="A21" s="4"/>
      <c r="B21" s="23" t="s">
        <v>4</v>
      </c>
      <c r="C21" s="13">
        <v>2024</v>
      </c>
      <c r="D21" s="14">
        <f t="shared" si="4"/>
        <v>1276</v>
      </c>
      <c r="E21" s="20">
        <v>48</v>
      </c>
      <c r="F21" s="20">
        <v>40</v>
      </c>
      <c r="G21" s="21">
        <v>304000</v>
      </c>
      <c r="H21" s="16">
        <f t="shared" si="0"/>
        <v>238.24451410658307</v>
      </c>
      <c r="I21" s="17">
        <f t="shared" si="1"/>
        <v>0.96845425867507884</v>
      </c>
      <c r="J21" s="17">
        <f t="shared" si="2"/>
        <v>3.1545741324921162E-2</v>
      </c>
      <c r="K21" s="22">
        <v>11.6</v>
      </c>
      <c r="L21" s="15">
        <f t="shared" si="3"/>
        <v>2763.6363636363635</v>
      </c>
      <c r="M21" s="16">
        <v>19.3</v>
      </c>
      <c r="N21" s="25">
        <v>0.96</v>
      </c>
      <c r="O21" s="4"/>
      <c r="P21" s="4"/>
    </row>
    <row r="22" spans="1:16" x14ac:dyDescent="0.3">
      <c r="A22" s="4"/>
      <c r="B22" s="23" t="s">
        <v>5</v>
      </c>
      <c r="C22" s="13">
        <v>2024</v>
      </c>
      <c r="D22" s="14">
        <f t="shared" si="4"/>
        <v>1303</v>
      </c>
      <c r="E22" s="20">
        <v>62</v>
      </c>
      <c r="F22" s="20">
        <v>35</v>
      </c>
      <c r="G22" s="21">
        <v>310000</v>
      </c>
      <c r="H22" s="16">
        <f t="shared" si="0"/>
        <v>237.91250959324634</v>
      </c>
      <c r="I22" s="17">
        <f t="shared" si="1"/>
        <v>0.97257053291536055</v>
      </c>
      <c r="J22" s="17">
        <f t="shared" si="2"/>
        <v>2.7429467084639447E-2</v>
      </c>
      <c r="K22" s="22">
        <v>11.6</v>
      </c>
      <c r="L22" s="15">
        <f t="shared" si="3"/>
        <v>2759.7851112816575</v>
      </c>
      <c r="M22" s="16">
        <v>19.5</v>
      </c>
      <c r="N22" s="25">
        <v>0.94</v>
      </c>
      <c r="O22" s="4"/>
      <c r="P22" s="4"/>
    </row>
    <row r="23" spans="1:16" x14ac:dyDescent="0.3">
      <c r="A23" s="4"/>
      <c r="B23" s="23" t="s">
        <v>6</v>
      </c>
      <c r="C23" s="13">
        <v>2024</v>
      </c>
      <c r="D23" s="14">
        <f t="shared" si="4"/>
        <v>1335</v>
      </c>
      <c r="E23" s="20">
        <v>60</v>
      </c>
      <c r="F23" s="20">
        <v>28</v>
      </c>
      <c r="G23" s="21">
        <v>318000</v>
      </c>
      <c r="H23" s="16">
        <f t="shared" si="0"/>
        <v>238.20224719101122</v>
      </c>
      <c r="I23" s="17">
        <f t="shared" si="1"/>
        <v>0.97851112816577135</v>
      </c>
      <c r="J23" s="17">
        <f t="shared" si="2"/>
        <v>2.1488871834228651E-2</v>
      </c>
      <c r="K23" s="22">
        <v>11.6</v>
      </c>
      <c r="L23" s="15">
        <f t="shared" si="3"/>
        <v>2763.1460674157302</v>
      </c>
      <c r="M23" s="16">
        <v>19.7</v>
      </c>
      <c r="N23" s="25">
        <v>0.94</v>
      </c>
      <c r="O23" s="4"/>
      <c r="P23" s="4"/>
    </row>
    <row r="24" spans="1:16" x14ac:dyDescent="0.3">
      <c r="A24" s="4"/>
      <c r="B24" s="23" t="s">
        <v>7</v>
      </c>
      <c r="C24" s="13">
        <v>2024</v>
      </c>
      <c r="D24" s="14">
        <f t="shared" si="4"/>
        <v>1358</v>
      </c>
      <c r="E24" s="20">
        <v>55</v>
      </c>
      <c r="F24" s="20">
        <v>32</v>
      </c>
      <c r="G24" s="21">
        <v>324000</v>
      </c>
      <c r="H24" s="16">
        <f t="shared" si="0"/>
        <v>238.58615611192931</v>
      </c>
      <c r="I24" s="17">
        <f t="shared" si="1"/>
        <v>0.97602996254681651</v>
      </c>
      <c r="J24" s="17">
        <f t="shared" si="2"/>
        <v>2.397003745318349E-2</v>
      </c>
      <c r="K24" s="22">
        <v>11.6</v>
      </c>
      <c r="L24" s="15">
        <f t="shared" si="3"/>
        <v>2767.59941089838</v>
      </c>
      <c r="M24" s="16">
        <v>19.5</v>
      </c>
      <c r="N24" s="25">
        <v>0.95</v>
      </c>
      <c r="O24" s="4"/>
      <c r="P24" s="4"/>
    </row>
    <row r="25" spans="1:16" x14ac:dyDescent="0.3">
      <c r="A25" s="4"/>
      <c r="B25" s="23" t="s">
        <v>8</v>
      </c>
      <c r="C25" s="13">
        <v>2024</v>
      </c>
      <c r="D25" s="14">
        <f t="shared" si="4"/>
        <v>1387</v>
      </c>
      <c r="E25" s="20">
        <v>57</v>
      </c>
      <c r="F25" s="20">
        <v>28</v>
      </c>
      <c r="G25" s="21">
        <v>331000</v>
      </c>
      <c r="H25" s="16">
        <f t="shared" si="0"/>
        <v>238.64455659697188</v>
      </c>
      <c r="I25" s="17">
        <f t="shared" si="1"/>
        <v>0.97938144329896903</v>
      </c>
      <c r="J25" s="17">
        <f t="shared" si="2"/>
        <v>2.0618556701030966E-2</v>
      </c>
      <c r="K25" s="22">
        <v>11.6</v>
      </c>
      <c r="L25" s="15">
        <f t="shared" si="3"/>
        <v>2768.2768565248739</v>
      </c>
      <c r="M25" s="16">
        <v>19.2</v>
      </c>
      <c r="N25" s="25">
        <v>0.96</v>
      </c>
      <c r="O25" s="4"/>
      <c r="P25" s="4"/>
    </row>
    <row r="26" spans="1:16" x14ac:dyDescent="0.3">
      <c r="A26" s="4"/>
      <c r="B26" s="23" t="s">
        <v>9</v>
      </c>
      <c r="C26" s="13">
        <v>2024</v>
      </c>
      <c r="D26" s="14">
        <f t="shared" si="4"/>
        <v>1427</v>
      </c>
      <c r="E26" s="20">
        <v>65</v>
      </c>
      <c r="F26" s="20">
        <v>25</v>
      </c>
      <c r="G26" s="21">
        <v>336000</v>
      </c>
      <c r="H26" s="16">
        <f t="shared" si="0"/>
        <v>235.45900490539594</v>
      </c>
      <c r="I26" s="17">
        <f t="shared" si="1"/>
        <v>0.98197548666186008</v>
      </c>
      <c r="J26" s="17">
        <f t="shared" si="2"/>
        <v>1.8024513338139925E-2</v>
      </c>
      <c r="K26" s="22">
        <v>11.6</v>
      </c>
      <c r="L26" s="15">
        <f t="shared" si="3"/>
        <v>2731.3244569025928</v>
      </c>
      <c r="M26" s="16">
        <v>19</v>
      </c>
      <c r="N26" s="25">
        <v>0.97</v>
      </c>
      <c r="O26" s="4"/>
      <c r="P26" s="4"/>
    </row>
    <row r="27" spans="1:16" x14ac:dyDescent="0.3">
      <c r="A27" s="4"/>
      <c r="B27" s="23" t="s">
        <v>10</v>
      </c>
      <c r="C27" s="13">
        <v>2024</v>
      </c>
      <c r="D27" s="14">
        <f t="shared" si="4"/>
        <v>1480</v>
      </c>
      <c r="E27" s="20">
        <v>75</v>
      </c>
      <c r="F27" s="20">
        <v>22</v>
      </c>
      <c r="G27" s="21">
        <v>346000</v>
      </c>
      <c r="H27" s="16">
        <f t="shared" si="0"/>
        <v>233.78378378378378</v>
      </c>
      <c r="I27" s="17">
        <f t="shared" si="1"/>
        <v>0.98458304134548003</v>
      </c>
      <c r="J27" s="17">
        <f t="shared" si="2"/>
        <v>1.5416958654519974E-2</v>
      </c>
      <c r="K27" s="22">
        <v>11.6</v>
      </c>
      <c r="L27" s="15">
        <f t="shared" si="3"/>
        <v>2711.8918918918916</v>
      </c>
      <c r="M27" s="16">
        <v>18.899999999999999</v>
      </c>
      <c r="N27" s="25">
        <v>0.98</v>
      </c>
      <c r="O27" s="4"/>
      <c r="P27" s="4"/>
    </row>
    <row r="28" spans="1:16" x14ac:dyDescent="0.3">
      <c r="A28" s="4"/>
      <c r="B28" s="29" t="s">
        <v>11</v>
      </c>
      <c r="C28" s="30">
        <v>2024</v>
      </c>
      <c r="D28" s="31">
        <f t="shared" si="4"/>
        <v>1540</v>
      </c>
      <c r="E28" s="32">
        <v>78</v>
      </c>
      <c r="F28" s="32">
        <v>18</v>
      </c>
      <c r="G28" s="33">
        <v>354000</v>
      </c>
      <c r="H28" s="34">
        <f t="shared" si="0"/>
        <v>229.87012987012986</v>
      </c>
      <c r="I28" s="35">
        <f t="shared" si="1"/>
        <v>0.98783783783783785</v>
      </c>
      <c r="J28" s="35">
        <f t="shared" si="2"/>
        <v>1.2162162162162149E-2</v>
      </c>
      <c r="K28" s="36">
        <v>11.6</v>
      </c>
      <c r="L28" s="15">
        <f t="shared" si="3"/>
        <v>2666.4935064935062</v>
      </c>
      <c r="M28" s="34">
        <v>18.8</v>
      </c>
      <c r="N28" s="37">
        <v>0.97</v>
      </c>
      <c r="O28" s="4"/>
      <c r="P28" s="4"/>
    </row>
    <row r="29" spans="1:16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</sheetData>
  <sheetProtection password="CC09" sheet="1" objects="1" scenarios="1" selectLockedCells="1" selectUnlockedCells="1"/>
  <pageMargins left="0.7" right="0.7" top="0.75" bottom="0.75" header="0.3" footer="0.3"/>
  <ignoredErrors>
    <ignoredError sqref="D5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"/>
  <sheetViews>
    <sheetView zoomScale="85" zoomScaleNormal="85" workbookViewId="0">
      <selection activeCell="Q5" sqref="Q5:R5"/>
    </sheetView>
  </sheetViews>
  <sheetFormatPr defaultRowHeight="14.4" x14ac:dyDescent="0.3"/>
  <cols>
    <col min="1" max="1" width="12.77734375" customWidth="1"/>
    <col min="2" max="2" width="14.44140625" customWidth="1"/>
    <col min="4" max="4" width="35.33203125" customWidth="1"/>
    <col min="5" max="5" width="22.21875" customWidth="1"/>
    <col min="7" max="7" width="18.6640625" customWidth="1"/>
    <col min="9" max="10" width="13.21875" customWidth="1"/>
    <col min="12" max="12" width="20" customWidth="1"/>
    <col min="14" max="14" width="16.109375" customWidth="1"/>
    <col min="15" max="15" width="17.5546875" customWidth="1"/>
    <col min="17" max="17" width="16.33203125" customWidth="1"/>
    <col min="18" max="18" width="15" customWidth="1"/>
    <col min="20" max="20" width="14.109375" style="1" bestFit="1" customWidth="1"/>
    <col min="21" max="21" width="8.88671875" style="1"/>
    <col min="22" max="22" width="3.109375" style="1" customWidth="1"/>
  </cols>
  <sheetData>
    <row r="1" spans="1:33" x14ac:dyDescent="0.3">
      <c r="A1" s="2" t="s">
        <v>25</v>
      </c>
      <c r="B1" s="2" t="s">
        <v>26</v>
      </c>
      <c r="C1" s="38"/>
      <c r="D1" s="9" t="s">
        <v>30</v>
      </c>
      <c r="E1" s="10" t="s">
        <v>31</v>
      </c>
      <c r="F1" s="38"/>
      <c r="G1" s="55" t="s">
        <v>38</v>
      </c>
      <c r="H1" s="55"/>
      <c r="I1" s="55"/>
      <c r="J1" s="55"/>
      <c r="K1" s="38"/>
      <c r="L1" s="55" t="s">
        <v>41</v>
      </c>
      <c r="M1" s="55"/>
      <c r="N1" s="55"/>
      <c r="O1" s="55"/>
      <c r="P1" s="38"/>
      <c r="Q1" s="38"/>
      <c r="R1" s="38"/>
      <c r="S1" s="38"/>
      <c r="T1" s="48"/>
      <c r="U1" s="48"/>
      <c r="V1" s="4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</row>
    <row r="2" spans="1:33" x14ac:dyDescent="0.3">
      <c r="A2" s="3">
        <f>Dashboard!O7</f>
        <v>2024</v>
      </c>
      <c r="B2" s="3" t="str">
        <f>Dashboard!O6</f>
        <v>September</v>
      </c>
      <c r="C2" s="38"/>
      <c r="D2" s="11" t="s">
        <v>13</v>
      </c>
      <c r="E2" s="14" cm="1">
        <f t="array" ref="E2">INDEX(Source[Active Accounts], MATCH(1, (Source[Year]=$A$2)*(Source[Month]=$B$2), 0))</f>
        <v>1387</v>
      </c>
      <c r="F2" s="38"/>
      <c r="G2" s="41" t="s">
        <v>12</v>
      </c>
      <c r="H2" s="41" t="s">
        <v>23</v>
      </c>
      <c r="I2" s="41" t="s">
        <v>39</v>
      </c>
      <c r="J2" s="41" t="s">
        <v>40</v>
      </c>
      <c r="K2" s="38"/>
      <c r="L2" s="41" t="s">
        <v>12</v>
      </c>
      <c r="M2" s="41" t="s">
        <v>23</v>
      </c>
      <c r="N2" s="41" t="s">
        <v>42</v>
      </c>
      <c r="O2" s="41" t="s">
        <v>43</v>
      </c>
      <c r="P2" s="38"/>
      <c r="Q2" s="56" t="s">
        <v>43</v>
      </c>
      <c r="R2" s="57"/>
      <c r="S2" s="38"/>
      <c r="T2" s="48"/>
      <c r="U2" s="48"/>
      <c r="V2" s="4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</row>
    <row r="3" spans="1:33" x14ac:dyDescent="0.3">
      <c r="A3" s="4"/>
      <c r="B3" s="4"/>
      <c r="C3" s="38"/>
      <c r="D3" s="11" t="s">
        <v>14</v>
      </c>
      <c r="E3" s="13" cm="1">
        <f t="array" ref="E3">INDEX(Source[New Accounts], MATCH(1, (Source[Year]=$A$2)*(Source[Month]=$B$2), 0))</f>
        <v>57</v>
      </c>
      <c r="F3" s="38"/>
      <c r="G3" s="42" t="str" cm="1">
        <f t="array" ref="G3">INDEX(Source[Month], MATCH(1, (Source[Year]=$A$2)*(Source[Month]=$B$2), 0))</f>
        <v>September</v>
      </c>
      <c r="H3" s="12" cm="1">
        <f t="array" ref="H3">INDEX(Source[Year], MATCH(1, (Source[Year]=$A$2)*(Source[Month]=$B$2), 0))</f>
        <v>2024</v>
      </c>
      <c r="I3" s="16" cm="1">
        <f t="array" ref="I3">INDEX(Source[CAC ($)], MATCH(1, (Source[Year]=$A$2)*(Source[Month]=$B$2), 0))</f>
        <v>19.2</v>
      </c>
      <c r="J3" s="15" cm="1">
        <f t="array" ref="J3">INDEX(Source[CLTV ($)], MATCH(1, (Source[Year]=$A$2)*(Source[Month]=$B$2), 0))</f>
        <v>2768.2768565248739</v>
      </c>
      <c r="K3" s="38"/>
      <c r="L3" s="42" t="str" cm="1">
        <f t="array" ref="L3">INDEX(Source[Month], MATCH(1, (Source[Year]=$A$2)*(Source[Month]=$B$2), 0))</f>
        <v>September</v>
      </c>
      <c r="M3" s="12" cm="1">
        <f t="array" ref="M3">INDEX(Source[Year], MATCH(1, (Source[Year]=$A$2)*(Source[Month]=$B$2), 0))</f>
        <v>2024</v>
      </c>
      <c r="N3" s="15" cm="1">
        <f t="array" ref="N3">INDEX(Source[MRR ($)], MATCH(1, (Source[Year]=$A$2)*(Source[Month]=$B$2), 0))</f>
        <v>331000</v>
      </c>
      <c r="O3" s="15">
        <f t="shared" ref="O3:O14" si="0">N3-N4</f>
        <v>7000</v>
      </c>
      <c r="P3" s="38"/>
      <c r="Q3" s="42" t="str">
        <f>L3&amp;" "&amp;TEXT(M3,"0")</f>
        <v>September 2024</v>
      </c>
      <c r="R3" s="15">
        <f>N3</f>
        <v>331000</v>
      </c>
      <c r="S3" s="38"/>
      <c r="T3" s="48"/>
      <c r="U3" s="48"/>
      <c r="V3" s="4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</row>
    <row r="4" spans="1:33" x14ac:dyDescent="0.3">
      <c r="A4" s="3">
        <v>2023</v>
      </c>
      <c r="B4" s="3" t="s">
        <v>0</v>
      </c>
      <c r="C4" s="38"/>
      <c r="D4" s="11" t="s">
        <v>37</v>
      </c>
      <c r="E4" s="17" cm="1">
        <f t="array" ref="E4">INDEX(Source[Churn Rate (%)], MATCH(1, (Source[Year]=$A$2)*(Source[Month]=$B$2), 0))</f>
        <v>2.0618556701030966E-2</v>
      </c>
      <c r="F4" s="38"/>
      <c r="G4" s="42" t="str" cm="1">
        <f t="array" ref="G4">INDEX(Source[Month], MATCH(1, (Source[Year]=$A$2)*(Source[Month]=$B$2), 0)-1)</f>
        <v>August</v>
      </c>
      <c r="H4" s="12" cm="1">
        <f t="array" ref="H4">INDEX(Source[Year], MATCH(1, (Source[Year]=$A$2)*(Source[Month]=$B$2), 0)-1)</f>
        <v>2024</v>
      </c>
      <c r="I4" s="16" cm="1">
        <f t="array" ref="I4">INDEX(Source[CAC ($)], MATCH(1, (Source[Year]=$A$2)*(Source[Month]=$B$2), 0)-1)</f>
        <v>19.5</v>
      </c>
      <c r="J4" s="15" cm="1">
        <f t="array" ref="J4">INDEX(Source[CLTV ($)], MATCH(1, (Source[Year]=$A$2)*(Source[Month]=$B$2), 0)-1)</f>
        <v>2767.59941089838</v>
      </c>
      <c r="K4" s="38"/>
      <c r="L4" s="42" t="str" cm="1">
        <f t="array" ref="L4">INDEX(Source[Month], MATCH(1, (Source[Year]=$A$2)*(Source[Month]=$B$2), 0)-1)</f>
        <v>August</v>
      </c>
      <c r="M4" s="12" cm="1">
        <f t="array" ref="M4">INDEX(Source[Year], MATCH(1, (Source[Year]=$A$2)*(Source[Month]=$B$2), 0)-1)</f>
        <v>2024</v>
      </c>
      <c r="N4" s="15" cm="1">
        <f t="array" ref="N4">INDEX(Source[MRR ($)], MATCH(1, (Source[Year]=$A$2)*(Source[Month]=$B$2), 0)-1)</f>
        <v>324000</v>
      </c>
      <c r="O4" s="15">
        <f t="shared" si="0"/>
        <v>6000</v>
      </c>
      <c r="P4" s="38"/>
      <c r="Q4" s="42" t="str">
        <f>L15&amp;" "&amp;TEXT(M15,"0")</f>
        <v>September 2023</v>
      </c>
      <c r="R4" s="15">
        <f>N15</f>
        <v>254000</v>
      </c>
      <c r="S4" s="38"/>
      <c r="T4" s="48"/>
      <c r="U4" s="48"/>
      <c r="V4" s="4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</row>
    <row r="5" spans="1:33" x14ac:dyDescent="0.3">
      <c r="A5" s="3">
        <v>2024</v>
      </c>
      <c r="B5" s="3" t="s">
        <v>1</v>
      </c>
      <c r="C5" s="38"/>
      <c r="D5" s="11" t="s">
        <v>32</v>
      </c>
      <c r="E5" s="15" cm="1">
        <f t="array" ref="E5">INDEX(Source[MRR ($)], MATCH(1, (Source[Year]=$A$2)*(Source[Month]=$B$2), 0))</f>
        <v>331000</v>
      </c>
      <c r="F5" s="38"/>
      <c r="G5" s="42" t="str" cm="1">
        <f t="array" ref="G5">INDEX(Source[Month], MATCH(1, (Source[Year]=$A$2)*(Source[Month]=$B$2), 0)-2)</f>
        <v>July</v>
      </c>
      <c r="H5" s="12" cm="1">
        <f t="array" ref="H5">INDEX(Source[Year], MATCH(1, (Source[Year]=$A$2)*(Source[Month]=$B$2), 0)-2)</f>
        <v>2024</v>
      </c>
      <c r="I5" s="16" cm="1">
        <f t="array" ref="I5">INDEX(Source[CAC ($)], MATCH(1, (Source[Year]=$A$2)*(Source[Month]=$B$2), 0)-2)</f>
        <v>19.7</v>
      </c>
      <c r="J5" s="15" cm="1">
        <f t="array" ref="J5">INDEX(Source[CLTV ($)], MATCH(1, (Source[Year]=$A$2)*(Source[Month]=$B$2), 0)-2)</f>
        <v>2763.1460674157302</v>
      </c>
      <c r="K5" s="38"/>
      <c r="L5" s="42" t="str" cm="1">
        <f t="array" ref="L5">INDEX(Source[Month], MATCH(1, (Source[Year]=$A$2)*(Source[Month]=$B$2), 0)-2)</f>
        <v>July</v>
      </c>
      <c r="M5" s="12" cm="1">
        <f t="array" ref="M5">INDEX(Source[Year], MATCH(1, (Source[Year]=$A$2)*(Source[Month]=$B$2), 0)-2)</f>
        <v>2024</v>
      </c>
      <c r="N5" s="15" cm="1">
        <f t="array" ref="N5">INDEX(Source[MRR ($)], MATCH(1, (Source[Year]=$A$2)*(Source[Month]=$B$2), 0)-2)</f>
        <v>318000</v>
      </c>
      <c r="O5" s="15">
        <f t="shared" si="0"/>
        <v>8000</v>
      </c>
      <c r="P5" s="38"/>
      <c r="Q5" s="58">
        <f>(R3-R4)/R4</f>
        <v>0.30314960629921262</v>
      </c>
      <c r="R5" s="59"/>
      <c r="S5" s="38"/>
      <c r="T5" s="48"/>
      <c r="U5" s="48"/>
      <c r="V5" s="4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</row>
    <row r="6" spans="1:33" x14ac:dyDescent="0.3">
      <c r="A6" s="3">
        <v>2025</v>
      </c>
      <c r="B6" s="3" t="s">
        <v>2</v>
      </c>
      <c r="C6" s="38"/>
      <c r="D6" s="11" t="s">
        <v>33</v>
      </c>
      <c r="E6" s="34" cm="1">
        <f t="array" ref="E6">INDEX(Source[CAC ($)], MATCH(1, (Source[Year]=$A$2)*(Source[Month]=$B$2), 0))</f>
        <v>19.2</v>
      </c>
      <c r="F6" s="38"/>
      <c r="G6" s="42" t="str" cm="1">
        <f t="array" ref="G6">INDEX(Source[Month], MATCH(1, (Source[Year]=$A$2)*(Source[Month]=$B$2), 0)-3)</f>
        <v>June</v>
      </c>
      <c r="H6" s="12" cm="1">
        <f t="array" ref="H6">INDEX(Source[Year], MATCH(1, (Source[Year]=$A$2)*(Source[Month]=$B$2), 0)-3)</f>
        <v>2024</v>
      </c>
      <c r="I6" s="16" cm="1">
        <f t="array" ref="I6">INDEX(Source[CAC ($)], MATCH(1, (Source[Year]=$A$2)*(Source[Month]=$B$2), 0)-3)</f>
        <v>19.5</v>
      </c>
      <c r="J6" s="15" cm="1">
        <f t="array" ref="J6">INDEX(Source[CLTV ($)], MATCH(1, (Source[Year]=$A$2)*(Source[Month]=$B$2), 0)-3)</f>
        <v>2759.7851112816575</v>
      </c>
      <c r="K6" s="38"/>
      <c r="L6" s="42" t="str" cm="1">
        <f t="array" ref="L6">INDEX(Source[Month], MATCH(1, (Source[Year]=$A$2)*(Source[Month]=$B$2), 0)-3)</f>
        <v>June</v>
      </c>
      <c r="M6" s="12" cm="1">
        <f t="array" ref="M6">INDEX(Source[Year], MATCH(1, (Source[Year]=$A$2)*(Source[Month]=$B$2), 0)-3)</f>
        <v>2024</v>
      </c>
      <c r="N6" s="15" cm="1">
        <f t="array" ref="N6">INDEX(Source[MRR ($)], MATCH(1, (Source[Year]=$A$2)*(Source[Month]=$B$2), 0)-3)</f>
        <v>310000</v>
      </c>
      <c r="O6" s="15">
        <f t="shared" si="0"/>
        <v>6000</v>
      </c>
      <c r="P6" s="38"/>
      <c r="Q6" s="38"/>
      <c r="R6" s="38"/>
      <c r="S6" s="38"/>
      <c r="T6" s="48"/>
      <c r="U6" s="48"/>
      <c r="V6" s="4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</row>
    <row r="7" spans="1:33" x14ac:dyDescent="0.3">
      <c r="A7" s="3"/>
      <c r="B7" s="3" t="s">
        <v>3</v>
      </c>
      <c r="C7" s="38"/>
      <c r="D7" s="11" t="s">
        <v>34</v>
      </c>
      <c r="E7" s="15" cm="1">
        <f t="array" ref="E7">INDEX(Source[CLTV ($)], MATCH(1, (Source[Year]=$A$2)*(Source[Month]=$B$2), 0))</f>
        <v>2768.2768565248739</v>
      </c>
      <c r="F7" s="38"/>
      <c r="G7" s="42" t="str" cm="1">
        <f t="array" ref="G7">INDEX(Source[Month], MATCH(1, (Source[Year]=$A$2)*(Source[Month]=$B$2), 0)-4)</f>
        <v>May</v>
      </c>
      <c r="H7" s="12" cm="1">
        <f t="array" ref="H7">INDEX(Source[Year], MATCH(1, (Source[Year]=$A$2)*(Source[Month]=$B$2), 0)-4)</f>
        <v>2024</v>
      </c>
      <c r="I7" s="16" cm="1">
        <f t="array" ref="I7">INDEX(Source[CAC ($)], MATCH(1, (Source[Year]=$A$2)*(Source[Month]=$B$2), 0)-4)</f>
        <v>19.3</v>
      </c>
      <c r="J7" s="15" cm="1">
        <f t="array" ref="J7">INDEX(Source[CLTV ($)], MATCH(1, (Source[Year]=$A$2)*(Source[Month]=$B$2), 0)-4)</f>
        <v>2763.6363636363635</v>
      </c>
      <c r="K7" s="38"/>
      <c r="L7" s="42" t="str" cm="1">
        <f t="array" ref="L7">INDEX(Source[Month], MATCH(1, (Source[Year]=$A$2)*(Source[Month]=$B$2), 0)-4)</f>
        <v>May</v>
      </c>
      <c r="M7" s="12" cm="1">
        <f t="array" ref="M7">INDEX(Source[Year], MATCH(1, (Source[Year]=$A$2)*(Source[Month]=$B$2), 0)-4)</f>
        <v>2024</v>
      </c>
      <c r="N7" s="15" cm="1">
        <f t="array" ref="N7">INDEX(Source[MRR ($)], MATCH(1, (Source[Year]=$A$2)*(Source[Month]=$B$2), 0)-4)</f>
        <v>304000</v>
      </c>
      <c r="O7" s="15">
        <f t="shared" si="0"/>
        <v>6000</v>
      </c>
      <c r="P7" s="38"/>
      <c r="Q7" s="54" t="s">
        <v>43</v>
      </c>
      <c r="R7" s="54"/>
      <c r="S7" s="38"/>
      <c r="V7" s="49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</row>
    <row r="8" spans="1:33" x14ac:dyDescent="0.3">
      <c r="A8" s="3"/>
      <c r="B8" s="3" t="s">
        <v>4</v>
      </c>
      <c r="C8" s="38"/>
      <c r="D8" s="11" t="s">
        <v>35</v>
      </c>
      <c r="E8" s="19" cm="1">
        <f t="array" ref="E8">INDEX(Source[NPS (%)], MATCH(1, (Source[Year]=$A$2)*(Source[Month]=$B$2), 0))</f>
        <v>0.96</v>
      </c>
      <c r="F8" s="38"/>
      <c r="G8" s="42" t="str" cm="1">
        <f t="array" ref="G8">INDEX(Source[Month], MATCH(1, (Source[Year]=$A$2)*(Source[Month]=$B$2), 0)-5)</f>
        <v>April</v>
      </c>
      <c r="H8" s="12" cm="1">
        <f t="array" ref="H8">INDEX(Source[Year], MATCH(1, (Source[Year]=$A$2)*(Source[Month]=$B$2), 0)-5)</f>
        <v>2024</v>
      </c>
      <c r="I8" s="16" cm="1">
        <f t="array" ref="I8">INDEX(Source[CAC ($)], MATCH(1, (Source[Year]=$A$2)*(Source[Month]=$B$2), 0)-5)</f>
        <v>19.5</v>
      </c>
      <c r="J8" s="15" cm="1">
        <f t="array" ref="J8">INDEX(Source[CLTV ($)], MATCH(1, (Source[Year]=$A$2)*(Source[Month]=$B$2), 0)-5)</f>
        <v>2702.6813880126183</v>
      </c>
      <c r="K8" s="38"/>
      <c r="L8" s="42" t="str" cm="1">
        <f t="array" ref="L8">INDEX(Source[Month], MATCH(1, (Source[Year]=$A$2)*(Source[Month]=$B$2), 0)-5)</f>
        <v>April</v>
      </c>
      <c r="M8" s="12" cm="1">
        <f t="array" ref="M8">INDEX(Source[Year], MATCH(1, (Source[Year]=$A$2)*(Source[Month]=$B$2), 0)-5)</f>
        <v>2024</v>
      </c>
      <c r="N8" s="15" cm="1">
        <f t="array" ref="N8">INDEX(Source[MRR ($)], MATCH(1, (Source[Year]=$A$2)*(Source[Month]=$B$2), 0)-5)</f>
        <v>298000</v>
      </c>
      <c r="O8" s="15">
        <f t="shared" si="0"/>
        <v>5000</v>
      </c>
      <c r="P8" s="38"/>
      <c r="Q8" s="50" t="s">
        <v>46</v>
      </c>
      <c r="R8" s="53">
        <f>Q5</f>
        <v>0.30314960629921262</v>
      </c>
      <c r="S8" s="38"/>
      <c r="V8" s="4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</row>
    <row r="9" spans="1:33" x14ac:dyDescent="0.3">
      <c r="A9" s="3"/>
      <c r="B9" s="3" t="s">
        <v>5</v>
      </c>
      <c r="C9" s="38"/>
      <c r="D9" s="39"/>
      <c r="E9" s="40"/>
      <c r="F9" s="38"/>
      <c r="G9" s="42" t="str" cm="1">
        <f t="array" ref="G9">INDEX(Source[Month], MATCH(1, (Source[Year]=$A$2)*(Source[Month]=$B$2), 0)-6)</f>
        <v>March</v>
      </c>
      <c r="H9" s="12" cm="1">
        <f t="array" ref="H9">INDEX(Source[Year], MATCH(1, (Source[Year]=$A$2)*(Source[Month]=$B$2), 0)-6)</f>
        <v>2024</v>
      </c>
      <c r="I9" s="16" cm="1">
        <f t="array" ref="I9">INDEX(Source[CAC ($)], MATCH(1, (Source[Year]=$A$2)*(Source[Month]=$B$2), 0)-6)</f>
        <v>19.5</v>
      </c>
      <c r="J9" s="15" cm="1">
        <f t="array" ref="J9">INDEX(Source[CLTV ($)], MATCH(1, (Source[Year]=$A$2)*(Source[Month]=$B$2), 0)-6)</f>
        <v>2689.146049481245</v>
      </c>
      <c r="K9" s="38"/>
      <c r="L9" s="42" t="str" cm="1">
        <f t="array" ref="L9">INDEX(Source[Month], MATCH(1, (Source[Year]=$A$2)*(Source[Month]=$B$2), 0)-6)</f>
        <v>March</v>
      </c>
      <c r="M9" s="12" cm="1">
        <f t="array" ref="M9">INDEX(Source[Year], MATCH(1, (Source[Year]=$A$2)*(Source[Month]=$B$2), 0)-6)</f>
        <v>2024</v>
      </c>
      <c r="N9" s="15" cm="1">
        <f t="array" ref="N9">INDEX(Source[MRR ($)], MATCH(1, (Source[Year]=$A$2)*(Source[Month]=$B$2), 0)-6)</f>
        <v>293000</v>
      </c>
      <c r="O9" s="15">
        <f t="shared" si="0"/>
        <v>8000</v>
      </c>
      <c r="P9" s="38"/>
      <c r="Q9" s="50" t="s">
        <v>47</v>
      </c>
      <c r="R9" s="53">
        <f>1-R8</f>
        <v>0.69685039370078738</v>
      </c>
      <c r="S9" s="38"/>
      <c r="V9" s="4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</row>
    <row r="10" spans="1:33" x14ac:dyDescent="0.3">
      <c r="A10" s="3"/>
      <c r="B10" s="3" t="s">
        <v>6</v>
      </c>
      <c r="C10" s="38"/>
      <c r="D10" s="39"/>
      <c r="E10" s="40"/>
      <c r="F10" s="38"/>
      <c r="G10" s="42" t="str" cm="1">
        <f t="array" ref="G10">INDEX(Source[Month], MATCH(1, (Source[Year]=$A$2)*(Source[Month]=$B$2), 0)-7)</f>
        <v>February</v>
      </c>
      <c r="H10" s="12" cm="1">
        <f t="array" ref="H10">INDEX(Source[Year], MATCH(1, (Source[Year]=$A$2)*(Source[Month]=$B$2), 0)-7)</f>
        <v>2024</v>
      </c>
      <c r="I10" s="16" cm="1">
        <f t="array" ref="I10">INDEX(Source[CAC ($)], MATCH(1, (Source[Year]=$A$2)*(Source[Month]=$B$2), 0)-7)</f>
        <v>19.600000000000001</v>
      </c>
      <c r="J10" s="15" cm="1">
        <f t="array" ref="J10">INDEX(Source[CLTV ($)], MATCH(1, (Source[Year]=$A$2)*(Source[Month]=$B$2), 0)-7)</f>
        <v>2668.9739413680782</v>
      </c>
      <c r="K10" s="38"/>
      <c r="L10" s="42" t="str" cm="1">
        <f t="array" ref="L10">INDEX(Source[Month], MATCH(1, (Source[Year]=$A$2)*(Source[Month]=$B$2), 0)-7)</f>
        <v>February</v>
      </c>
      <c r="M10" s="12" cm="1">
        <f t="array" ref="M10">INDEX(Source[Year], MATCH(1, (Source[Year]=$A$2)*(Source[Month]=$B$2), 0)-7)</f>
        <v>2024</v>
      </c>
      <c r="N10" s="15" cm="1">
        <f t="array" ref="N10">INDEX(Source[MRR ($)], MATCH(1, (Source[Year]=$A$2)*(Source[Month]=$B$2), 0)-7)</f>
        <v>285000</v>
      </c>
      <c r="O10" s="15">
        <f t="shared" si="0"/>
        <v>3000</v>
      </c>
      <c r="P10" s="38"/>
      <c r="Q10" s="4"/>
      <c r="R10" s="4"/>
      <c r="S10" s="38"/>
      <c r="V10" s="4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</row>
    <row r="11" spans="1:33" x14ac:dyDescent="0.3">
      <c r="A11" s="3"/>
      <c r="B11" s="3" t="s">
        <v>7</v>
      </c>
      <c r="C11" s="38"/>
      <c r="D11" s="38"/>
      <c r="E11" s="38"/>
      <c r="F11" s="38"/>
      <c r="G11" s="42" t="str" cm="1">
        <f t="array" ref="G11">INDEX(Source[Month], MATCH(1, (Source[Year]=$A$2)*(Source[Month]=$B$2), 0)-8)</f>
        <v>January</v>
      </c>
      <c r="H11" s="12" cm="1">
        <f t="array" ref="H11">INDEX(Source[Year], MATCH(1, (Source[Year]=$A$2)*(Source[Month]=$B$2), 0)-8)</f>
        <v>2024</v>
      </c>
      <c r="I11" s="16" cm="1">
        <f t="array" ref="I11">INDEX(Source[CAC ($)], MATCH(1, (Source[Year]=$A$2)*(Source[Month]=$B$2), 0)-8)</f>
        <v>19.7</v>
      </c>
      <c r="J11" s="15" cm="1">
        <f t="array" ref="J11">INDEX(Source[CLTV ($)], MATCH(1, (Source[Year]=$A$2)*(Source[Month]=$B$2), 0)-8)</f>
        <v>2700.2497918401332</v>
      </c>
      <c r="K11" s="38"/>
      <c r="L11" s="42" t="str" cm="1">
        <f t="array" ref="L11">INDEX(Source[Month], MATCH(1, (Source[Year]=$A$2)*(Source[Month]=$B$2), 0)-8)</f>
        <v>January</v>
      </c>
      <c r="M11" s="12" cm="1">
        <f t="array" ref="M11">INDEX(Source[Year], MATCH(1, (Source[Year]=$A$2)*(Source[Month]=$B$2), 0)-8)</f>
        <v>2024</v>
      </c>
      <c r="N11" s="15" cm="1">
        <f t="array" ref="N11">INDEX(Source[MRR ($)], MATCH(1, (Source[Year]=$A$2)*(Source[Month]=$B$2), 0)-8)</f>
        <v>282000</v>
      </c>
      <c r="O11" s="15">
        <f t="shared" si="0"/>
        <v>12000</v>
      </c>
      <c r="P11" s="38"/>
      <c r="Q11" s="54" t="s">
        <v>50</v>
      </c>
      <c r="R11" s="54"/>
      <c r="S11" s="38"/>
      <c r="V11" s="4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</row>
    <row r="12" spans="1:33" x14ac:dyDescent="0.3">
      <c r="A12" s="3"/>
      <c r="B12" s="3" t="s">
        <v>8</v>
      </c>
      <c r="C12" s="38"/>
      <c r="D12" s="38"/>
      <c r="E12" s="38"/>
      <c r="F12" s="38"/>
      <c r="G12" s="42" t="str" cm="1">
        <f t="array" ref="G12">INDEX(Source[Month], MATCH(1, (Source[Year]=$A$2)*(Source[Month]=$B$2), 0)-9)</f>
        <v>December</v>
      </c>
      <c r="H12" s="12" cm="1">
        <f t="array" ref="H12">INDEX(Source[Year], MATCH(1, (Source[Year]=$A$2)*(Source[Month]=$B$2), 0)-9)</f>
        <v>2023</v>
      </c>
      <c r="I12" s="16" cm="1">
        <f t="array" ref="I12">INDEX(Source[CAC ($)], MATCH(1, (Source[Year]=$A$2)*(Source[Month]=$B$2), 0)-9)</f>
        <v>19.7</v>
      </c>
      <c r="J12" s="15" cm="1">
        <f t="array" ref="J12">INDEX(Source[CLTV ($)], MATCH(1, (Source[Year]=$A$2)*(Source[Month]=$B$2), 0)-9)</f>
        <v>2658.3904109589039</v>
      </c>
      <c r="K12" s="38"/>
      <c r="L12" s="42" t="str" cm="1">
        <f t="array" ref="L12">INDEX(Source[Month], MATCH(1, (Source[Year]=$A$2)*(Source[Month]=$B$2), 0)-9)</f>
        <v>December</v>
      </c>
      <c r="M12" s="12" cm="1">
        <f t="array" ref="M12">INDEX(Source[Year], MATCH(1, (Source[Year]=$A$2)*(Source[Month]=$B$2), 0)-9)</f>
        <v>2023</v>
      </c>
      <c r="N12" s="15" cm="1">
        <f t="array" ref="N12">INDEX(Source[MRR ($)], MATCH(1, (Source[Year]=$A$2)*(Source[Month]=$B$2), 0)-9)</f>
        <v>270000</v>
      </c>
      <c r="O12" s="15">
        <f t="shared" si="0"/>
        <v>7000</v>
      </c>
      <c r="P12" s="38"/>
      <c r="Q12" s="50" t="s">
        <v>48</v>
      </c>
      <c r="R12" s="51" t="s">
        <v>49</v>
      </c>
      <c r="S12" s="38"/>
      <c r="V12" s="4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</row>
    <row r="13" spans="1:33" x14ac:dyDescent="0.3">
      <c r="A13" s="3"/>
      <c r="B13" s="3" t="s">
        <v>9</v>
      </c>
      <c r="C13" s="38"/>
      <c r="D13" s="38"/>
      <c r="E13" s="38"/>
      <c r="F13" s="38"/>
      <c r="G13" s="42" t="str" cm="1">
        <f t="array" ref="G13">INDEX(Source[Month], MATCH(1, (Source[Year]=$A$2)*(Source[Month]=$B$2), 0)-10)</f>
        <v>November</v>
      </c>
      <c r="H13" s="12" cm="1">
        <f t="array" ref="H13">INDEX(Source[Year], MATCH(1, (Source[Year]=$A$2)*(Source[Month]=$B$2), 0)-10)</f>
        <v>2023</v>
      </c>
      <c r="I13" s="16" cm="1">
        <f t="array" ref="I13">INDEX(Source[CAC ($)], MATCH(1, (Source[Year]=$A$2)*(Source[Month]=$B$2), 0)-10)</f>
        <v>19.8</v>
      </c>
      <c r="J13" s="15" cm="1">
        <f t="array" ref="J13">INDEX(Source[CLTV ($)], MATCH(1, (Source[Year]=$A$2)*(Source[Month]=$B$2), 0)-10)</f>
        <v>2646.1067366579177</v>
      </c>
      <c r="K13" s="38"/>
      <c r="L13" s="42" t="str" cm="1">
        <f t="array" ref="L13">INDEX(Source[Month], MATCH(1, (Source[Year]=$A$2)*(Source[Month]=$B$2), 0)-10)</f>
        <v>November</v>
      </c>
      <c r="M13" s="12" cm="1">
        <f t="array" ref="M13">INDEX(Source[Year], MATCH(1, (Source[Year]=$A$2)*(Source[Month]=$B$2), 0)-10)</f>
        <v>2023</v>
      </c>
      <c r="N13" s="15" cm="1">
        <f t="array" ref="N13">INDEX(Source[MRR ($)], MATCH(1, (Source[Year]=$A$2)*(Source[Month]=$B$2), 0)-10)</f>
        <v>263000</v>
      </c>
      <c r="O13" s="15">
        <f t="shared" si="0"/>
        <v>4000</v>
      </c>
      <c r="P13" s="38"/>
      <c r="Q13" s="50">
        <v>0</v>
      </c>
      <c r="R13" s="51">
        <v>1</v>
      </c>
      <c r="S13" s="38"/>
      <c r="V13" s="4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</row>
    <row r="14" spans="1:33" x14ac:dyDescent="0.3">
      <c r="A14" s="3"/>
      <c r="B14" s="3" t="s">
        <v>10</v>
      </c>
      <c r="C14" s="38"/>
      <c r="D14" s="38"/>
      <c r="E14" s="38"/>
      <c r="F14" s="38"/>
      <c r="G14" s="42" t="str" cm="1">
        <f t="array" ref="G14">INDEX(Source[Month], MATCH(1, (Source[Year]=$A$2)*(Source[Month]=$B$2), 0)-11)</f>
        <v>October</v>
      </c>
      <c r="H14" s="12" cm="1">
        <f t="array" ref="H14">INDEX(Source[Year], MATCH(1, (Source[Year]=$A$2)*(Source[Month]=$B$2), 0)-11)</f>
        <v>2023</v>
      </c>
      <c r="I14" s="16" cm="1">
        <f t="array" ref="I14">INDEX(Source[CAC ($)], MATCH(1, (Source[Year]=$A$2)*(Source[Month]=$B$2), 0)-11)</f>
        <v>20.3</v>
      </c>
      <c r="J14" s="15" cm="1">
        <f t="array" ref="J14">INDEX(Source[CLTV ($)], MATCH(1, (Source[Year]=$A$2)*(Source[Month]=$B$2), 0)-11)</f>
        <v>2612.9203539823006</v>
      </c>
      <c r="K14" s="38"/>
      <c r="L14" s="42" t="str" cm="1">
        <f t="array" ref="L14">INDEX(Source[Month], MATCH(1, (Source[Year]=$A$2)*(Source[Month]=$B$2), 0)-11)</f>
        <v>October</v>
      </c>
      <c r="M14" s="12" cm="1">
        <f t="array" ref="M14">INDEX(Source[Year], MATCH(1, (Source[Year]=$A$2)*(Source[Month]=$B$2), 0)-11)</f>
        <v>2023</v>
      </c>
      <c r="N14" s="15" cm="1">
        <f t="array" ref="N14">INDEX(Source[MRR ($)], MATCH(1, (Source[Year]=$A$2)*(Source[Month]=$B$2), 0)-11)</f>
        <v>259000</v>
      </c>
      <c r="O14" s="15">
        <f t="shared" si="0"/>
        <v>5000</v>
      </c>
      <c r="P14" s="38"/>
      <c r="Q14" s="52">
        <f>-SIN(R9*2*PI())</f>
        <v>0.94475538160410999</v>
      </c>
      <c r="R14" s="52">
        <f>COS(R9*2*PI())</f>
        <v>-0.32777624827017665</v>
      </c>
      <c r="S14" s="38"/>
      <c r="V14" s="4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</row>
    <row r="15" spans="1:33" x14ac:dyDescent="0.3">
      <c r="A15" s="3"/>
      <c r="B15" s="3" t="s">
        <v>11</v>
      </c>
      <c r="C15" s="38"/>
      <c r="D15" s="38"/>
      <c r="E15" s="38"/>
      <c r="F15" s="38"/>
      <c r="G15" s="42" t="str" cm="1">
        <f t="array" ref="G15">INDEX(Source[Month], MATCH(1, (Source[Year]=$A$2)*(Source[Month]=$B$2), 0)-12)</f>
        <v>September</v>
      </c>
      <c r="H15" s="12" cm="1">
        <f t="array" ref="H15">INDEX(Source[Year], MATCH(1, (Source[Year]=$A$2)*(Source[Month]=$B$2), 0)-12)</f>
        <v>2023</v>
      </c>
      <c r="I15" s="16" cm="1">
        <f t="array" ref="I15">INDEX(Source[CAC ($)], MATCH(1, (Source[Year]=$A$2)*(Source[Month]=$B$2), 0)-12)</f>
        <v>20.6</v>
      </c>
      <c r="J15" s="15" cm="1">
        <f t="array" ref="J15">INDEX(Source[CLTV ($)], MATCH(1, (Source[Year]=$A$2)*(Source[Month]=$B$2), 0)-12)</f>
        <v>2585.3571428571427</v>
      </c>
      <c r="K15" s="38"/>
      <c r="L15" s="42" t="str" cm="1">
        <f t="array" ref="L15">INDEX(Source[Month], MATCH(1, (Source[Year]=$A$2)*(Source[Month]=$B$2), 0)-12)</f>
        <v>September</v>
      </c>
      <c r="M15" s="12" cm="1">
        <f t="array" ref="M15">INDEX(Source[Year], MATCH(1, (Source[Year]=$A$2)*(Source[Month]=$B$2), 0)-12)</f>
        <v>2023</v>
      </c>
      <c r="N15" s="15" cm="1">
        <f t="array" ref="N15">INDEX(Source[MRR ($)], MATCH(1, (Source[Year]=$A$2)*(Source[Month]=$B$2), 0)-12)</f>
        <v>254000</v>
      </c>
      <c r="O15" s="15">
        <f>N15-N16</f>
        <v>6000</v>
      </c>
      <c r="P15" s="38"/>
      <c r="Q15" s="38"/>
      <c r="R15" s="38"/>
      <c r="S15" s="38"/>
      <c r="T15" s="4"/>
      <c r="U15" s="4"/>
      <c r="V15" s="4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</row>
    <row r="16" spans="1:33" x14ac:dyDescent="0.3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42" t="str" cm="1">
        <f t="array" ref="L16">INDEX(Source[Month], MATCH(1, (Source[Year]=$A$2)*(Source[Month]=$B$2), 0)-13)</f>
        <v>August</v>
      </c>
      <c r="M16" s="12" cm="1">
        <f t="array" ref="M16">INDEX(Source[Year], MATCH(1, (Source[Year]=$A$2)*(Source[Month]=$B$2), 0)-13)</f>
        <v>2023</v>
      </c>
      <c r="N16" s="15" cm="1">
        <f t="array" ref="N16">INDEX(Source[MRR ($)], MATCH(1, (Source[Year]=$A$2)*(Source[Month]=$B$2), 0)-13)</f>
        <v>248000</v>
      </c>
      <c r="O16" s="15">
        <v>0</v>
      </c>
      <c r="P16" s="38"/>
      <c r="Q16" s="38"/>
      <c r="R16" s="38"/>
      <c r="S16" s="38"/>
      <c r="T16" s="4"/>
      <c r="U16" s="4"/>
      <c r="V16" s="4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</row>
    <row r="17" spans="1:33" x14ac:dyDescent="0.3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43" t="s">
        <v>44</v>
      </c>
      <c r="O17" s="44">
        <f>N3-N16</f>
        <v>83000</v>
      </c>
      <c r="P17" s="38"/>
      <c r="Q17" s="38"/>
      <c r="R17" s="38"/>
      <c r="S17" s="38"/>
      <c r="T17" s="4"/>
      <c r="U17" s="4"/>
      <c r="V17" s="4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</row>
    <row r="18" spans="1:33" x14ac:dyDescent="0.3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43" t="s">
        <v>45</v>
      </c>
      <c r="O18" s="45">
        <f>O17/N16</f>
        <v>0.33467741935483869</v>
      </c>
      <c r="P18" s="38"/>
      <c r="Q18" s="38"/>
      <c r="R18" s="38"/>
      <c r="S18" s="38"/>
      <c r="T18" s="4"/>
      <c r="U18" s="4"/>
      <c r="V18" s="4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</row>
    <row r="19" spans="1:33" x14ac:dyDescent="0.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</row>
    <row r="20" spans="1:33" x14ac:dyDescent="0.3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</row>
  </sheetData>
  <sheetProtection password="CC09" sheet="1" objects="1" scenarios="1" selectLockedCells="1" selectUnlockedCells="1"/>
  <mergeCells count="6">
    <mergeCell ref="Q11:R11"/>
    <mergeCell ref="G1:J1"/>
    <mergeCell ref="L1:O1"/>
    <mergeCell ref="Q2:R2"/>
    <mergeCell ref="Q5:R5"/>
    <mergeCell ref="Q7:R7"/>
  </mergeCells>
  <pageMargins left="0.7" right="0.7" top="0.75" bottom="0.75" header="0.3" footer="0.3"/>
  <ignoredErrors>
    <ignoredError sqref="E5 I3:I1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zoomScaleNormal="100" workbookViewId="0">
      <selection activeCell="U8" sqref="U8"/>
    </sheetView>
  </sheetViews>
  <sheetFormatPr defaultRowHeight="13.2" x14ac:dyDescent="0.3"/>
  <cols>
    <col min="1" max="1" width="5.109375" style="6" customWidth="1"/>
    <col min="2" max="12" width="8.88671875" style="6"/>
    <col min="13" max="13" width="8.77734375" style="6" customWidth="1"/>
    <col min="14" max="14" width="14.33203125" style="6" customWidth="1"/>
    <col min="15" max="15" width="17.88671875" style="6" customWidth="1"/>
    <col min="16" max="16" width="4.77734375" style="6" customWidth="1"/>
    <col min="17" max="16384" width="8.88671875" style="6"/>
  </cols>
  <sheetData>
    <row r="1" spans="1:16" ht="7.95" customHeight="1" x14ac:dyDescent="0.3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16" ht="31.8" customHeight="1" x14ac:dyDescent="0.3">
      <c r="A2" s="46"/>
      <c r="B2" s="60" t="s">
        <v>51</v>
      </c>
      <c r="C2" s="60"/>
      <c r="D2" s="60"/>
      <c r="E2" s="60"/>
      <c r="F2" s="60"/>
      <c r="G2" s="60"/>
      <c r="H2" s="62" t="s">
        <v>36</v>
      </c>
      <c r="I2" s="62"/>
      <c r="J2" s="62"/>
      <c r="K2" s="62"/>
      <c r="L2" s="62"/>
      <c r="M2" s="62"/>
      <c r="N2" s="62"/>
      <c r="O2" s="62"/>
      <c r="P2" s="46"/>
    </row>
    <row r="3" spans="1:16" ht="7.95" customHeight="1" x14ac:dyDescent="0.3">
      <c r="A3" s="46"/>
      <c r="B3" s="47"/>
      <c r="C3" s="47"/>
      <c r="D3" s="47"/>
      <c r="E3" s="47"/>
      <c r="F3" s="47"/>
      <c r="G3" s="47"/>
      <c r="H3" s="46"/>
      <c r="I3" s="46"/>
      <c r="J3" s="46"/>
      <c r="K3" s="46"/>
      <c r="L3" s="46"/>
      <c r="M3" s="46"/>
      <c r="N3" s="46"/>
      <c r="O3" s="46"/>
      <c r="P3" s="46"/>
    </row>
    <row r="4" spans="1:16" ht="25.0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25.05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1" t="s">
        <v>29</v>
      </c>
      <c r="O5" s="61"/>
      <c r="P5" s="5"/>
    </row>
    <row r="6" spans="1:16" ht="25.0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7" t="s">
        <v>27</v>
      </c>
      <c r="O6" s="8" t="s">
        <v>8</v>
      </c>
      <c r="P6" s="5"/>
    </row>
    <row r="7" spans="1:16" ht="25.0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7" t="s">
        <v>28</v>
      </c>
      <c r="O7" s="8">
        <v>2024</v>
      </c>
      <c r="P7" s="5"/>
    </row>
    <row r="8" spans="1:16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t="19.2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</sheetData>
  <sheetProtection password="CC09" sheet="1" objects="1" scenarios="1" selectLockedCells="1" selectUnlockedCells="1"/>
  <mergeCells count="3">
    <mergeCell ref="B2:G2"/>
    <mergeCell ref="N5:O5"/>
    <mergeCell ref="H2:O2"/>
  </mergeCells>
  <pageMargins left="0" right="0" top="0" bottom="0" header="0" footer="0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'Helper Sheet'!$B$4:$B$15</xm:f>
          </x14:formula1>
          <xm:sqref>O6</xm:sqref>
        </x14:dataValidation>
        <x14:dataValidation type="list" allowBlank="1" showInputMessage="1" showErrorMessage="1">
          <x14:formula1>
            <xm:f>'Helper Sheet'!$A$4:$A$6</xm:f>
          </x14:formula1>
          <xm:sqref>O7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Helper Sheet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</dc:creator>
  <cp:lastModifiedBy>Thanish Imadh</cp:lastModifiedBy>
  <cp:lastPrinted>2024-06-05T08:27:19Z</cp:lastPrinted>
  <dcterms:created xsi:type="dcterms:W3CDTF">2024-06-03T13:09:43Z</dcterms:created>
  <dcterms:modified xsi:type="dcterms:W3CDTF">2026-03-05T22:39:27Z</dcterms:modified>
</cp:coreProperties>
</file>